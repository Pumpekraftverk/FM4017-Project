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ks\Documents\UsN\FM4017 - Project\FM4017-Project Repo Aleks\FM4017-Project\Results\"/>
    </mc:Choice>
  </mc:AlternateContent>
  <xr:revisionPtr revIDLastSave="0" documentId="8_{5DD0A407-BE08-4E4E-BD46-8775FBF0F813}" xr6:coauthVersionLast="47" xr6:coauthVersionMax="47" xr10:uidLastSave="{00000000-0000-0000-0000-000000000000}"/>
  <bookViews>
    <workbookView xWindow="-120" yWindow="-120" windowWidth="29040" windowHeight="15720" activeTab="1" xr2:uid="{B19B13E3-CA9A-4339-8735-916FFBCE4117}"/>
  </bookViews>
  <sheets>
    <sheet name="Summer results" sheetId="1" r:id="rId1"/>
    <sheet name="Winter resul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1" l="1"/>
</calcChain>
</file>

<file path=xl/sharedStrings.xml><?xml version="1.0" encoding="utf-8"?>
<sst xmlns="http://schemas.openxmlformats.org/spreadsheetml/2006/main" count="219" uniqueCount="87">
  <si>
    <t>DK_2&lt;-&gt;SE_4</t>
  </si>
  <si>
    <t>NO_4&lt;-&gt;SE_2</t>
  </si>
  <si>
    <t>NO_3&lt;-&gt;NO_4</t>
  </si>
  <si>
    <t>NO_4&lt;-&gt;SE_1</t>
  </si>
  <si>
    <t>SE_2&lt;-&gt;SE_3</t>
  </si>
  <si>
    <t>SE_3&lt;-&gt;SE_4</t>
  </si>
  <si>
    <t>SE_1&lt;-&gt;SE_2</t>
  </si>
  <si>
    <t>NO_3&lt;-&gt;SE_2</t>
  </si>
  <si>
    <t>NO_1&lt;-&gt;NO_2</t>
  </si>
  <si>
    <t>NO_1&lt;-&gt;NO_5</t>
  </si>
  <si>
    <t>NO_1&lt;-&gt;NO_3</t>
  </si>
  <si>
    <t>NO_2&lt;-&gt;NO_5</t>
  </si>
  <si>
    <t>NO_1&lt;-&gt;SE_3</t>
  </si>
  <si>
    <t>Average % error</t>
  </si>
  <si>
    <t>Excluding actual values &lt; 200 MW and errors &gt;  10000%</t>
  </si>
  <si>
    <t>Summer</t>
  </si>
  <si>
    <t>Average MW error</t>
  </si>
  <si>
    <t>Border connection</t>
  </si>
  <si>
    <t>Direction:</t>
  </si>
  <si>
    <t>index</t>
  </si>
  <si>
    <t>bus0</t>
  </si>
  <si>
    <t>zone_bus0</t>
  </si>
  <si>
    <t>bus1</t>
  </si>
  <si>
    <t>zone_bus1</t>
  </si>
  <si>
    <t>loading_percent</t>
  </si>
  <si>
    <t>loading_MW</t>
  </si>
  <si>
    <t>rated_capacity_MW</t>
  </si>
  <si>
    <t>type</t>
  </si>
  <si>
    <t>FI1 0</t>
  </si>
  <si>
    <t>FI</t>
  </si>
  <si>
    <t>FI1 7</t>
  </si>
  <si>
    <t>AC Line</t>
  </si>
  <si>
    <t>SE1 6</t>
  </si>
  <si>
    <t>SE_3</t>
  </si>
  <si>
    <t>SE1 8</t>
  </si>
  <si>
    <t>SE1 0</t>
  </si>
  <si>
    <t>SE_4</t>
  </si>
  <si>
    <t>SE1 22</t>
  </si>
  <si>
    <t>SE1 21</t>
  </si>
  <si>
    <t>NO1 17</t>
  </si>
  <si>
    <t>NO_4</t>
  </si>
  <si>
    <t>SE1 20</t>
  </si>
  <si>
    <t>SE_2</t>
  </si>
  <si>
    <t>SE1 10</t>
  </si>
  <si>
    <t>SE1 18</t>
  </si>
  <si>
    <t>NO1 11</t>
  </si>
  <si>
    <t>NO_1</t>
  </si>
  <si>
    <t>NO1 23</t>
  </si>
  <si>
    <t>NO1 2</t>
  </si>
  <si>
    <t>NO1 10</t>
  </si>
  <si>
    <t>NO_2</t>
  </si>
  <si>
    <t>NO1 20</t>
  </si>
  <si>
    <t>NO1 16</t>
  </si>
  <si>
    <t>NO1 26</t>
  </si>
  <si>
    <t>SE1 14</t>
  </si>
  <si>
    <t>SE_1</t>
  </si>
  <si>
    <t>SE1 3</t>
  </si>
  <si>
    <t>SE1 15</t>
  </si>
  <si>
    <t>SE1 16</t>
  </si>
  <si>
    <t>NO1 18</t>
  </si>
  <si>
    <t>NO_3</t>
  </si>
  <si>
    <t>SE1 11</t>
  </si>
  <si>
    <t>Winter</t>
  </si>
  <si>
    <t>NO_3&lt;-&gt;NO_5</t>
  </si>
  <si>
    <t>Total average error:</t>
  </si>
  <si>
    <t xml:space="preserve">Disguarded values: </t>
  </si>
  <si>
    <t>247/247</t>
  </si>
  <si>
    <t xml:space="preserve">Total matches: </t>
  </si>
  <si>
    <t>Overall accuracy:</t>
  </si>
  <si>
    <t xml:space="preserve">Average per-snapshot accuracy: </t>
  </si>
  <si>
    <t>SE1 4</t>
  </si>
  <si>
    <t>NO1 24</t>
  </si>
  <si>
    <t>NO1 6</t>
  </si>
  <si>
    <t>NO1 21</t>
  </si>
  <si>
    <t>SE1 25</t>
  </si>
  <si>
    <t>SE1 2</t>
  </si>
  <si>
    <t>SE1 23</t>
  </si>
  <si>
    <t>SE1 7</t>
  </si>
  <si>
    <t>NO1 0</t>
  </si>
  <si>
    <t>NO_5</t>
  </si>
  <si>
    <t>NO1 14</t>
  </si>
  <si>
    <t>Average per-snapshot accuracy:</t>
  </si>
  <si>
    <t>198/218</t>
  </si>
  <si>
    <t>Total matches:</t>
  </si>
  <si>
    <t xml:space="preserve">Overall accuracy: </t>
  </si>
  <si>
    <t>Direction estimation:</t>
  </si>
  <si>
    <t>15 most loaded AC lines for 17:00, snapshot [17]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</si>
</sst>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2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44858-E85A-414B-9257-0DD9584938C8}">
  <dimension ref="A1:J45"/>
  <sheetViews>
    <sheetView topLeftCell="A16" workbookViewId="0">
      <selection activeCell="A29" sqref="A29:J29"/>
    </sheetView>
  </sheetViews>
  <sheetFormatPr baseColWidth="10" defaultRowHeight="15" x14ac:dyDescent="0.25"/>
  <cols>
    <col min="2" max="2" width="29.5703125" bestFit="1" customWidth="1"/>
    <col min="3" max="3" width="14.5703125" bestFit="1" customWidth="1"/>
    <col min="4" max="4" width="16.42578125" bestFit="1" customWidth="1"/>
    <col min="5" max="5" width="9.140625" customWidth="1"/>
    <col min="6" max="6" width="10.28515625" bestFit="1" customWidth="1"/>
    <col min="7" max="7" width="15.140625" bestFit="1" customWidth="1"/>
    <col min="8" max="8" width="12" bestFit="1" customWidth="1"/>
    <col min="9" max="9" width="18.140625" bestFit="1" customWidth="1"/>
  </cols>
  <sheetData>
    <row r="1" spans="2:6" x14ac:dyDescent="0.25">
      <c r="B1" s="1" t="s">
        <v>15</v>
      </c>
      <c r="C1" s="1"/>
      <c r="D1" s="1"/>
      <c r="E1" s="1"/>
      <c r="F1" s="1"/>
    </row>
    <row r="2" spans="2:6" ht="15" customHeight="1" x14ac:dyDescent="0.25">
      <c r="B2" s="2" t="s">
        <v>14</v>
      </c>
      <c r="C2" s="2"/>
      <c r="D2" s="2"/>
      <c r="E2" s="2"/>
      <c r="F2" s="2"/>
    </row>
    <row r="3" spans="2:6" x14ac:dyDescent="0.25">
      <c r="B3" s="2"/>
      <c r="C3" s="2"/>
      <c r="D3" s="2"/>
      <c r="E3" s="2"/>
      <c r="F3" s="2"/>
    </row>
    <row r="4" spans="2:6" x14ac:dyDescent="0.25">
      <c r="B4" t="s">
        <v>17</v>
      </c>
      <c r="C4" t="s">
        <v>13</v>
      </c>
      <c r="D4" t="s">
        <v>16</v>
      </c>
    </row>
    <row r="5" spans="2:6" x14ac:dyDescent="0.25">
      <c r="B5" t="s">
        <v>0</v>
      </c>
      <c r="C5">
        <v>1.226558</v>
      </c>
      <c r="D5">
        <v>5.8951789999999997</v>
      </c>
    </row>
    <row r="6" spans="2:6" x14ac:dyDescent="0.25">
      <c r="B6" t="s">
        <v>1</v>
      </c>
      <c r="C6">
        <v>17.586984999999999</v>
      </c>
      <c r="D6">
        <v>-35.571435999999999</v>
      </c>
    </row>
    <row r="7" spans="2:6" x14ac:dyDescent="0.25">
      <c r="B7" t="s">
        <v>2</v>
      </c>
      <c r="C7">
        <v>27.776610999999999</v>
      </c>
      <c r="D7">
        <v>176.48621</v>
      </c>
    </row>
    <row r="8" spans="2:6" x14ac:dyDescent="0.25">
      <c r="B8" t="s">
        <v>3</v>
      </c>
      <c r="C8">
        <v>30.288367000000001</v>
      </c>
      <c r="D8">
        <v>-20.845265000000001</v>
      </c>
    </row>
    <row r="9" spans="2:6" x14ac:dyDescent="0.25">
      <c r="B9" t="s">
        <v>4</v>
      </c>
      <c r="C9">
        <v>41.490133999999998</v>
      </c>
      <c r="D9">
        <v>-738.88020900000004</v>
      </c>
    </row>
    <row r="10" spans="2:6" x14ac:dyDescent="0.25">
      <c r="B10" t="s">
        <v>5</v>
      </c>
      <c r="C10">
        <v>43.875858999999998</v>
      </c>
      <c r="D10">
        <v>-409.461364</v>
      </c>
    </row>
    <row r="11" spans="2:6" x14ac:dyDescent="0.25">
      <c r="B11" t="s">
        <v>6</v>
      </c>
      <c r="C11">
        <v>57.897092000000001</v>
      </c>
      <c r="D11">
        <v>-359.98879499999998</v>
      </c>
    </row>
    <row r="12" spans="2:6" x14ac:dyDescent="0.25">
      <c r="B12" t="s">
        <v>7</v>
      </c>
      <c r="C12">
        <v>62.873910000000002</v>
      </c>
      <c r="D12">
        <v>-259.96336000000002</v>
      </c>
    </row>
    <row r="13" spans="2:6" x14ac:dyDescent="0.25">
      <c r="B13" t="s">
        <v>8</v>
      </c>
      <c r="C13">
        <v>73.201804999999993</v>
      </c>
      <c r="D13">
        <v>-727.65944200000001</v>
      </c>
    </row>
    <row r="14" spans="2:6" x14ac:dyDescent="0.25">
      <c r="B14" t="s">
        <v>9</v>
      </c>
      <c r="C14">
        <v>80.784807999999998</v>
      </c>
      <c r="D14">
        <v>-314.76124099999998</v>
      </c>
    </row>
    <row r="15" spans="2:6" x14ac:dyDescent="0.25">
      <c r="B15" t="s">
        <v>10</v>
      </c>
      <c r="C15">
        <v>80.913995999999997</v>
      </c>
      <c r="D15">
        <v>208.172889</v>
      </c>
    </row>
    <row r="16" spans="2:6" x14ac:dyDescent="0.25">
      <c r="B16" t="s">
        <v>11</v>
      </c>
      <c r="C16">
        <v>89.636418000000006</v>
      </c>
      <c r="D16">
        <v>-295.835059</v>
      </c>
    </row>
    <row r="17" spans="1:10" x14ac:dyDescent="0.25">
      <c r="B17" t="s">
        <v>12</v>
      </c>
      <c r="C17">
        <v>113.491826</v>
      </c>
      <c r="D17">
        <f>714.862527</f>
        <v>714.862527</v>
      </c>
    </row>
    <row r="20" spans="1:10" ht="30" x14ac:dyDescent="0.25">
      <c r="B20" s="3" t="s">
        <v>64</v>
      </c>
      <c r="C20">
        <v>56.61</v>
      </c>
    </row>
    <row r="21" spans="1:10" x14ac:dyDescent="0.25">
      <c r="B21" t="s">
        <v>65</v>
      </c>
      <c r="C21">
        <v>118</v>
      </c>
    </row>
    <row r="23" spans="1:10" x14ac:dyDescent="0.25">
      <c r="B23" s="1" t="s">
        <v>85</v>
      </c>
      <c r="C23" s="1"/>
    </row>
    <row r="24" spans="1:10" x14ac:dyDescent="0.25">
      <c r="B24" t="s">
        <v>83</v>
      </c>
      <c r="C24" t="s">
        <v>82</v>
      </c>
    </row>
    <row r="25" spans="1:10" x14ac:dyDescent="0.25">
      <c r="B25" t="s">
        <v>84</v>
      </c>
      <c r="C25">
        <v>90.8</v>
      </c>
    </row>
    <row r="26" spans="1:10" x14ac:dyDescent="0.25">
      <c r="B26" t="s">
        <v>81</v>
      </c>
      <c r="C26">
        <v>90</v>
      </c>
    </row>
    <row r="29" spans="1:10" x14ac:dyDescent="0.25">
      <c r="A29" s="1" t="s">
        <v>86</v>
      </c>
      <c r="B29" s="1"/>
      <c r="C29" s="1"/>
      <c r="D29" s="1"/>
      <c r="E29" s="1"/>
      <c r="F29" s="1"/>
      <c r="G29" s="1"/>
      <c r="H29" s="1"/>
      <c r="I29" s="1"/>
      <c r="J29" s="1"/>
    </row>
    <row r="30" spans="1:10" x14ac:dyDescent="0.25">
      <c r="B30" t="s">
        <v>19</v>
      </c>
      <c r="C30" t="s">
        <v>20</v>
      </c>
      <c r="D30" t="s">
        <v>21</v>
      </c>
      <c r="E30" t="s">
        <v>22</v>
      </c>
      <c r="F30" t="s">
        <v>23</v>
      </c>
      <c r="G30" t="s">
        <v>24</v>
      </c>
      <c r="H30" t="s">
        <v>25</v>
      </c>
      <c r="I30" t="s">
        <v>26</v>
      </c>
      <c r="J30" t="s">
        <v>27</v>
      </c>
    </row>
    <row r="31" spans="1:10" x14ac:dyDescent="0.25">
      <c r="A31">
        <v>1</v>
      </c>
      <c r="B31">
        <v>2</v>
      </c>
      <c r="C31" t="s">
        <v>28</v>
      </c>
      <c r="D31" t="s">
        <v>29</v>
      </c>
      <c r="E31" t="s">
        <v>30</v>
      </c>
      <c r="F31" t="s">
        <v>29</v>
      </c>
      <c r="G31">
        <v>38.632384000000002</v>
      </c>
      <c r="H31">
        <v>2762.1790550000001</v>
      </c>
      <c r="I31">
        <v>7149.9057339999999</v>
      </c>
      <c r="J31" t="s">
        <v>31</v>
      </c>
    </row>
    <row r="32" spans="1:10" x14ac:dyDescent="0.25">
      <c r="A32">
        <v>2</v>
      </c>
      <c r="B32">
        <v>100</v>
      </c>
      <c r="C32" t="s">
        <v>32</v>
      </c>
      <c r="D32" t="s">
        <v>33</v>
      </c>
      <c r="E32" t="s">
        <v>34</v>
      </c>
      <c r="F32" t="s">
        <v>33</v>
      </c>
      <c r="G32">
        <v>34.652428</v>
      </c>
      <c r="H32">
        <v>619.40397800000005</v>
      </c>
      <c r="I32">
        <v>1787.476433</v>
      </c>
      <c r="J32" t="s">
        <v>31</v>
      </c>
    </row>
    <row r="33" spans="1:10" x14ac:dyDescent="0.25">
      <c r="A33">
        <v>3</v>
      </c>
      <c r="B33">
        <v>60</v>
      </c>
      <c r="C33" t="s">
        <v>35</v>
      </c>
      <c r="D33" t="s">
        <v>36</v>
      </c>
      <c r="E33" t="s">
        <v>37</v>
      </c>
      <c r="F33" t="s">
        <v>36</v>
      </c>
      <c r="G33">
        <v>33.380274</v>
      </c>
      <c r="H33">
        <v>1193.329064</v>
      </c>
      <c r="I33">
        <v>3574.952867</v>
      </c>
      <c r="J33" t="s">
        <v>31</v>
      </c>
    </row>
    <row r="34" spans="1:10" x14ac:dyDescent="0.25">
      <c r="A34">
        <v>4</v>
      </c>
      <c r="B34">
        <v>91</v>
      </c>
      <c r="C34" t="s">
        <v>38</v>
      </c>
      <c r="D34" t="s">
        <v>33</v>
      </c>
      <c r="E34" t="s">
        <v>37</v>
      </c>
      <c r="F34" t="s">
        <v>36</v>
      </c>
      <c r="G34">
        <v>32.75347</v>
      </c>
      <c r="H34">
        <v>585.460553</v>
      </c>
      <c r="I34">
        <v>1787.476433</v>
      </c>
      <c r="J34" t="s">
        <v>31</v>
      </c>
    </row>
    <row r="35" spans="1:10" x14ac:dyDescent="0.25">
      <c r="A35">
        <v>5</v>
      </c>
      <c r="B35">
        <v>42</v>
      </c>
      <c r="C35" t="s">
        <v>39</v>
      </c>
      <c r="D35" t="s">
        <v>40</v>
      </c>
      <c r="E35" t="s">
        <v>41</v>
      </c>
      <c r="F35" t="s">
        <v>42</v>
      </c>
      <c r="G35">
        <v>31.898533</v>
      </c>
      <c r="H35">
        <v>156.79916</v>
      </c>
      <c r="I35">
        <v>491.55601899999999</v>
      </c>
      <c r="J35" t="s">
        <v>31</v>
      </c>
    </row>
    <row r="36" spans="1:10" x14ac:dyDescent="0.25">
      <c r="A36">
        <v>6</v>
      </c>
      <c r="B36">
        <v>65</v>
      </c>
      <c r="C36" t="s">
        <v>43</v>
      </c>
      <c r="D36" t="s">
        <v>33</v>
      </c>
      <c r="E36" t="s">
        <v>37</v>
      </c>
      <c r="F36" t="s">
        <v>36</v>
      </c>
      <c r="G36">
        <v>26.044753</v>
      </c>
      <c r="H36">
        <v>1862.175262</v>
      </c>
      <c r="I36">
        <v>7149.9057339999999</v>
      </c>
      <c r="J36" t="s">
        <v>31</v>
      </c>
    </row>
    <row r="37" spans="1:10" x14ac:dyDescent="0.25">
      <c r="A37">
        <v>7</v>
      </c>
      <c r="B37">
        <v>86</v>
      </c>
      <c r="C37" t="s">
        <v>44</v>
      </c>
      <c r="D37" t="s">
        <v>33</v>
      </c>
      <c r="E37" t="s">
        <v>34</v>
      </c>
      <c r="F37" t="s">
        <v>33</v>
      </c>
      <c r="G37">
        <v>25.446771999999999</v>
      </c>
      <c r="H37">
        <v>454.85505799999999</v>
      </c>
      <c r="I37">
        <v>1787.476433</v>
      </c>
      <c r="J37" t="s">
        <v>31</v>
      </c>
    </row>
    <row r="38" spans="1:10" x14ac:dyDescent="0.25">
      <c r="A38">
        <v>8</v>
      </c>
      <c r="B38">
        <v>28</v>
      </c>
      <c r="C38" t="s">
        <v>45</v>
      </c>
      <c r="D38" t="s">
        <v>46</v>
      </c>
      <c r="E38" t="s">
        <v>47</v>
      </c>
      <c r="F38" t="s">
        <v>46</v>
      </c>
      <c r="G38">
        <v>23.837634000000001</v>
      </c>
      <c r="H38">
        <v>1134.4702119999999</v>
      </c>
      <c r="I38">
        <v>4759.1560040000004</v>
      </c>
      <c r="J38" t="s">
        <v>31</v>
      </c>
    </row>
    <row r="39" spans="1:10" x14ac:dyDescent="0.25">
      <c r="A39">
        <v>9</v>
      </c>
      <c r="B39">
        <v>40</v>
      </c>
      <c r="C39" t="s">
        <v>39</v>
      </c>
      <c r="D39" t="s">
        <v>40</v>
      </c>
      <c r="E39" t="s">
        <v>48</v>
      </c>
      <c r="F39" t="s">
        <v>40</v>
      </c>
      <c r="G39">
        <v>22.212292999999999</v>
      </c>
      <c r="H39">
        <v>640.22619199999997</v>
      </c>
      <c r="I39">
        <v>2882.3057490000001</v>
      </c>
      <c r="J39" t="s">
        <v>31</v>
      </c>
    </row>
    <row r="40" spans="1:10" x14ac:dyDescent="0.25">
      <c r="A40">
        <v>10</v>
      </c>
      <c r="B40">
        <v>23</v>
      </c>
      <c r="C40" t="s">
        <v>49</v>
      </c>
      <c r="D40" t="s">
        <v>50</v>
      </c>
      <c r="E40" t="s">
        <v>51</v>
      </c>
      <c r="F40" t="s">
        <v>50</v>
      </c>
      <c r="G40">
        <v>20.858104999999998</v>
      </c>
      <c r="H40">
        <v>391.47540500000002</v>
      </c>
      <c r="I40">
        <v>1876.8502550000001</v>
      </c>
      <c r="J40" t="s">
        <v>31</v>
      </c>
    </row>
    <row r="41" spans="1:10" x14ac:dyDescent="0.25">
      <c r="A41">
        <v>11</v>
      </c>
      <c r="B41">
        <v>38</v>
      </c>
      <c r="C41" t="s">
        <v>52</v>
      </c>
      <c r="D41" t="s">
        <v>46</v>
      </c>
      <c r="E41" t="s">
        <v>53</v>
      </c>
      <c r="F41" t="s">
        <v>46</v>
      </c>
      <c r="G41">
        <v>20.480550000000001</v>
      </c>
      <c r="H41">
        <v>205.92281700000001</v>
      </c>
      <c r="I41">
        <v>1005.455494</v>
      </c>
      <c r="J41" t="s">
        <v>31</v>
      </c>
    </row>
    <row r="42" spans="1:10" x14ac:dyDescent="0.25">
      <c r="A42">
        <v>12</v>
      </c>
      <c r="B42">
        <v>72</v>
      </c>
      <c r="C42" t="s">
        <v>54</v>
      </c>
      <c r="D42" t="s">
        <v>55</v>
      </c>
      <c r="E42" t="s">
        <v>56</v>
      </c>
      <c r="F42" t="s">
        <v>55</v>
      </c>
      <c r="G42">
        <v>20.084406000000001</v>
      </c>
      <c r="H42">
        <v>359.00401699999998</v>
      </c>
      <c r="I42">
        <v>1787.476433</v>
      </c>
      <c r="J42" t="s">
        <v>31</v>
      </c>
    </row>
    <row r="43" spans="1:10" x14ac:dyDescent="0.25">
      <c r="A43">
        <v>13</v>
      </c>
      <c r="B43">
        <v>73</v>
      </c>
      <c r="C43" t="s">
        <v>57</v>
      </c>
      <c r="D43" t="s">
        <v>42</v>
      </c>
      <c r="E43" t="s">
        <v>58</v>
      </c>
      <c r="F43" t="s">
        <v>33</v>
      </c>
      <c r="G43">
        <v>20.023713999999998</v>
      </c>
      <c r="H43">
        <v>98.427771000000007</v>
      </c>
      <c r="I43">
        <v>491.55601899999999</v>
      </c>
      <c r="J43" t="s">
        <v>31</v>
      </c>
    </row>
    <row r="44" spans="1:10" x14ac:dyDescent="0.25">
      <c r="A44">
        <v>14</v>
      </c>
      <c r="B44">
        <v>43</v>
      </c>
      <c r="C44" t="s">
        <v>59</v>
      </c>
      <c r="D44" t="s">
        <v>60</v>
      </c>
      <c r="E44" t="s">
        <v>48</v>
      </c>
      <c r="F44" t="s">
        <v>40</v>
      </c>
      <c r="G44">
        <v>19.779758999999999</v>
      </c>
      <c r="H44">
        <v>570.11314300000004</v>
      </c>
      <c r="I44">
        <v>2882.3057490000001</v>
      </c>
      <c r="J44" t="s">
        <v>31</v>
      </c>
    </row>
    <row r="45" spans="1:10" x14ac:dyDescent="0.25">
      <c r="A45">
        <v>15</v>
      </c>
      <c r="B45">
        <v>67</v>
      </c>
      <c r="C45" t="s">
        <v>61</v>
      </c>
      <c r="D45" t="s">
        <v>42</v>
      </c>
      <c r="E45" t="s">
        <v>57</v>
      </c>
      <c r="F45" t="s">
        <v>42</v>
      </c>
      <c r="G45">
        <v>19.200403999999999</v>
      </c>
      <c r="H45">
        <v>437.58343200000002</v>
      </c>
      <c r="I45">
        <v>2279.0324529999998</v>
      </c>
      <c r="J45" t="s">
        <v>31</v>
      </c>
    </row>
  </sheetData>
  <mergeCells count="6">
    <mergeCell ref="B23:C23"/>
    <mergeCell ref="A29:J29"/>
    <mergeCell ref="E2:F3"/>
    <mergeCell ref="E1:F1"/>
    <mergeCell ref="B2:D3"/>
    <mergeCell ref="B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C387B-04DA-4BEB-920A-8B6391E38443}">
  <dimension ref="A1:J43"/>
  <sheetViews>
    <sheetView tabSelected="1" topLeftCell="A15" workbookViewId="0">
      <selection activeCell="N34" sqref="N34"/>
    </sheetView>
  </sheetViews>
  <sheetFormatPr baseColWidth="10" defaultRowHeight="15" x14ac:dyDescent="0.25"/>
  <cols>
    <col min="1" max="1" width="11.42578125" style="3"/>
    <col min="2" max="2" width="15.5703125" style="3" customWidth="1"/>
    <col min="3" max="6" width="11.42578125" style="3"/>
    <col min="7" max="7" width="15.140625" style="3" bestFit="1" customWidth="1"/>
    <col min="8" max="8" width="11.5703125" style="3" bestFit="1" customWidth="1"/>
    <col min="9" max="9" width="19.7109375" style="3" customWidth="1"/>
    <col min="10" max="16384" width="11.42578125" style="3"/>
  </cols>
  <sheetData>
    <row r="1" spans="2:6" x14ac:dyDescent="0.25">
      <c r="B1" s="2" t="s">
        <v>62</v>
      </c>
      <c r="C1" s="2"/>
      <c r="D1" s="2"/>
      <c r="E1" s="2"/>
      <c r="F1" s="2"/>
    </row>
    <row r="2" spans="2:6" x14ac:dyDescent="0.25">
      <c r="B2" s="2" t="s">
        <v>14</v>
      </c>
      <c r="C2" s="2"/>
      <c r="D2" s="2"/>
      <c r="E2" s="2"/>
      <c r="F2" s="2"/>
    </row>
    <row r="3" spans="2:6" x14ac:dyDescent="0.25">
      <c r="B3" s="2"/>
      <c r="C3" s="2"/>
      <c r="D3" s="2"/>
      <c r="E3" s="2"/>
      <c r="F3" s="2"/>
    </row>
    <row r="4" spans="2:6" ht="30" x14ac:dyDescent="0.25">
      <c r="B4" s="3" t="s">
        <v>17</v>
      </c>
      <c r="C4" s="3" t="s">
        <v>13</v>
      </c>
      <c r="D4" s="3" t="s">
        <v>16</v>
      </c>
    </row>
    <row r="5" spans="2:6" x14ac:dyDescent="0.25">
      <c r="B5" s="3" t="s">
        <v>2</v>
      </c>
      <c r="C5" s="3">
        <v>3.6745420000000002</v>
      </c>
      <c r="D5" s="3">
        <v>-38.527200000000001</v>
      </c>
    </row>
    <row r="6" spans="2:6" x14ac:dyDescent="0.25">
      <c r="B6" s="3" t="s">
        <v>0</v>
      </c>
      <c r="C6" s="3">
        <v>8.2505310000000005</v>
      </c>
      <c r="D6" s="3">
        <v>40.455249999999999</v>
      </c>
    </row>
    <row r="7" spans="2:6" x14ac:dyDescent="0.25">
      <c r="B7" s="3" t="s">
        <v>12</v>
      </c>
      <c r="C7" s="3">
        <v>8.9997769999999999</v>
      </c>
      <c r="D7" s="3">
        <v>40.529646</v>
      </c>
    </row>
    <row r="8" spans="2:6" x14ac:dyDescent="0.25">
      <c r="B8" s="3" t="s">
        <v>4</v>
      </c>
      <c r="C8" s="3">
        <v>12.841924000000001</v>
      </c>
      <c r="D8" s="3">
        <v>-785.55298000000005</v>
      </c>
    </row>
    <row r="9" spans="2:6" x14ac:dyDescent="0.25">
      <c r="B9" s="3" t="s">
        <v>9</v>
      </c>
      <c r="C9" s="3">
        <v>14.397038</v>
      </c>
      <c r="D9" s="3">
        <v>236.27154300000001</v>
      </c>
    </row>
    <row r="10" spans="2:6" x14ac:dyDescent="0.25">
      <c r="B10" s="3" t="s">
        <v>5</v>
      </c>
      <c r="C10" s="3">
        <v>18.890671999999999</v>
      </c>
      <c r="D10" s="3">
        <v>-490.46333299999998</v>
      </c>
    </row>
    <row r="11" spans="2:6" x14ac:dyDescent="0.25">
      <c r="B11" s="3" t="s">
        <v>6</v>
      </c>
      <c r="C11" s="3">
        <v>24.330383000000001</v>
      </c>
      <c r="D11" s="3">
        <v>-697.87432899999999</v>
      </c>
    </row>
    <row r="12" spans="2:6" x14ac:dyDescent="0.25">
      <c r="B12" s="3" t="s">
        <v>63</v>
      </c>
      <c r="C12" s="3">
        <v>28.895402000000001</v>
      </c>
      <c r="D12" s="3">
        <v>129.789646</v>
      </c>
    </row>
    <row r="13" spans="2:6" x14ac:dyDescent="0.25">
      <c r="B13" s="3" t="s">
        <v>3</v>
      </c>
      <c r="C13" s="3">
        <v>35.411124000000001</v>
      </c>
      <c r="D13" s="3">
        <v>-94.769203000000005</v>
      </c>
    </row>
    <row r="14" spans="2:6" x14ac:dyDescent="0.25">
      <c r="B14" s="3" t="s">
        <v>7</v>
      </c>
      <c r="C14" s="3">
        <v>37.964393000000001</v>
      </c>
      <c r="D14" s="3">
        <v>-140.472084</v>
      </c>
    </row>
    <row r="15" spans="2:6" x14ac:dyDescent="0.25">
      <c r="B15" s="3" t="s">
        <v>8</v>
      </c>
      <c r="C15" s="3">
        <v>53.676729999999999</v>
      </c>
      <c r="D15" s="3">
        <v>-264.92829599999999</v>
      </c>
    </row>
    <row r="16" spans="2:6" x14ac:dyDescent="0.25">
      <c r="B16" s="3" t="s">
        <v>11</v>
      </c>
      <c r="C16" s="3">
        <v>140.027717</v>
      </c>
      <c r="D16" s="3">
        <v>-423.03616099999999</v>
      </c>
    </row>
    <row r="19" spans="1:10" x14ac:dyDescent="0.25">
      <c r="B19" s="3" t="s">
        <v>64</v>
      </c>
      <c r="C19" s="4">
        <v>27.22</v>
      </c>
    </row>
    <row r="20" spans="1:10" x14ac:dyDescent="0.25">
      <c r="B20" s="3" t="s">
        <v>65</v>
      </c>
      <c r="C20" s="5">
        <v>89</v>
      </c>
    </row>
    <row r="22" spans="1:10" x14ac:dyDescent="0.25">
      <c r="B22" s="3" t="s">
        <v>18</v>
      </c>
    </row>
    <row r="23" spans="1:10" x14ac:dyDescent="0.25">
      <c r="B23" s="3" t="s">
        <v>67</v>
      </c>
      <c r="C23" s="3" t="s">
        <v>66</v>
      </c>
    </row>
    <row r="24" spans="1:10" x14ac:dyDescent="0.25">
      <c r="B24" s="3" t="s">
        <v>68</v>
      </c>
      <c r="C24" s="3">
        <v>100</v>
      </c>
    </row>
    <row r="25" spans="1:10" ht="30" x14ac:dyDescent="0.25">
      <c r="B25" s="3" t="s">
        <v>69</v>
      </c>
      <c r="C25" s="3">
        <v>100</v>
      </c>
    </row>
    <row r="27" spans="1:10" ht="15" customHeight="1" x14ac:dyDescent="0.25">
      <c r="A27" s="1" t="s">
        <v>86</v>
      </c>
      <c r="B27" s="1"/>
      <c r="C27" s="1"/>
      <c r="D27" s="1"/>
      <c r="E27" s="1"/>
      <c r="F27" s="1"/>
      <c r="G27" s="1"/>
      <c r="H27" s="1"/>
      <c r="I27" s="1"/>
      <c r="J27" s="1"/>
    </row>
    <row r="28" spans="1:10" ht="30" x14ac:dyDescent="0.25">
      <c r="B28" s="3" t="s">
        <v>19</v>
      </c>
      <c r="C28" s="3" t="s">
        <v>20</v>
      </c>
      <c r="D28" s="3" t="s">
        <v>21</v>
      </c>
      <c r="E28" s="3" t="s">
        <v>22</v>
      </c>
      <c r="F28" s="3" t="s">
        <v>23</v>
      </c>
      <c r="G28" s="3" t="s">
        <v>24</v>
      </c>
      <c r="H28" s="3" t="s">
        <v>25</v>
      </c>
      <c r="I28" s="3" t="s">
        <v>26</v>
      </c>
      <c r="J28" s="3" t="s">
        <v>27</v>
      </c>
    </row>
    <row r="29" spans="1:10" x14ac:dyDescent="0.25">
      <c r="A29">
        <v>1</v>
      </c>
      <c r="B29" s="3">
        <v>72</v>
      </c>
      <c r="C29" s="3" t="s">
        <v>54</v>
      </c>
      <c r="D29" s="3" t="s">
        <v>55</v>
      </c>
      <c r="E29" s="3" t="s">
        <v>56</v>
      </c>
      <c r="F29" s="3" t="s">
        <v>55</v>
      </c>
      <c r="G29" s="3">
        <v>49.115093000000002</v>
      </c>
      <c r="H29" s="3">
        <v>877.92071399999998</v>
      </c>
      <c r="I29" s="3">
        <v>1787.476433</v>
      </c>
      <c r="J29" s="3" t="s">
        <v>31</v>
      </c>
    </row>
    <row r="30" spans="1:10" x14ac:dyDescent="0.25">
      <c r="A30">
        <v>2</v>
      </c>
      <c r="B30" s="3">
        <v>40</v>
      </c>
      <c r="C30" s="3" t="s">
        <v>39</v>
      </c>
      <c r="D30" s="3" t="s">
        <v>40</v>
      </c>
      <c r="E30" s="3" t="s">
        <v>48</v>
      </c>
      <c r="F30" s="3" t="s">
        <v>40</v>
      </c>
      <c r="G30" s="3">
        <v>48.371065000000002</v>
      </c>
      <c r="H30" s="3">
        <v>1394.201996</v>
      </c>
      <c r="I30" s="3">
        <v>2882.3057490000001</v>
      </c>
      <c r="J30" s="3" t="s">
        <v>31</v>
      </c>
    </row>
    <row r="31" spans="1:10" x14ac:dyDescent="0.25">
      <c r="A31">
        <v>3</v>
      </c>
      <c r="B31" s="3">
        <v>78</v>
      </c>
      <c r="C31" s="3" t="s">
        <v>58</v>
      </c>
      <c r="D31" s="3" t="s">
        <v>33</v>
      </c>
      <c r="E31" s="3" t="s">
        <v>70</v>
      </c>
      <c r="F31" s="3" t="s">
        <v>42</v>
      </c>
      <c r="G31" s="3">
        <v>46.853203999999998</v>
      </c>
      <c r="H31" s="3">
        <v>2742.7796600000001</v>
      </c>
      <c r="I31" s="3">
        <v>5853.9853190000003</v>
      </c>
      <c r="J31" s="3" t="s">
        <v>31</v>
      </c>
    </row>
    <row r="32" spans="1:10" x14ac:dyDescent="0.25">
      <c r="A32">
        <v>4</v>
      </c>
      <c r="B32" s="3">
        <v>54</v>
      </c>
      <c r="C32" s="3" t="s">
        <v>71</v>
      </c>
      <c r="D32" s="3" t="s">
        <v>60</v>
      </c>
      <c r="E32" s="3" t="s">
        <v>72</v>
      </c>
      <c r="F32" s="3" t="s">
        <v>60</v>
      </c>
      <c r="G32" s="3">
        <v>46.273947</v>
      </c>
      <c r="H32" s="3">
        <v>1333.756623</v>
      </c>
      <c r="I32" s="3">
        <v>2882.3057490000001</v>
      </c>
      <c r="J32" s="3" t="s">
        <v>31</v>
      </c>
    </row>
    <row r="33" spans="1:10" x14ac:dyDescent="0.25">
      <c r="A33">
        <v>5</v>
      </c>
      <c r="B33" s="3">
        <v>42</v>
      </c>
      <c r="C33" s="3" t="s">
        <v>39</v>
      </c>
      <c r="D33" s="3" t="s">
        <v>40</v>
      </c>
      <c r="E33" s="3" t="s">
        <v>41</v>
      </c>
      <c r="F33" s="3" t="s">
        <v>42</v>
      </c>
      <c r="G33" s="3">
        <v>45.812637000000002</v>
      </c>
      <c r="H33" s="3">
        <v>225.194774</v>
      </c>
      <c r="I33" s="3">
        <v>491.55601899999999</v>
      </c>
      <c r="J33" s="3" t="s">
        <v>31</v>
      </c>
    </row>
    <row r="34" spans="1:10" x14ac:dyDescent="0.25">
      <c r="A34">
        <v>6</v>
      </c>
      <c r="B34" s="3">
        <v>43</v>
      </c>
      <c r="C34" s="3" t="s">
        <v>59</v>
      </c>
      <c r="D34" s="3" t="s">
        <v>60</v>
      </c>
      <c r="E34" s="3" t="s">
        <v>48</v>
      </c>
      <c r="F34" s="3" t="s">
        <v>40</v>
      </c>
      <c r="G34" s="3">
        <v>45.123739</v>
      </c>
      <c r="H34" s="3">
        <v>1300.604122</v>
      </c>
      <c r="I34" s="3">
        <v>2882.3057490000001</v>
      </c>
      <c r="J34" s="3" t="s">
        <v>31</v>
      </c>
    </row>
    <row r="35" spans="1:10" x14ac:dyDescent="0.25">
      <c r="A35">
        <v>7</v>
      </c>
      <c r="B35" s="3">
        <v>48</v>
      </c>
      <c r="C35" s="3" t="s">
        <v>73</v>
      </c>
      <c r="D35" s="3" t="s">
        <v>60</v>
      </c>
      <c r="E35" s="3" t="s">
        <v>72</v>
      </c>
      <c r="F35" s="3" t="s">
        <v>60</v>
      </c>
      <c r="G35" s="3">
        <v>44.737819000000002</v>
      </c>
      <c r="H35" s="3">
        <v>839.66186500000003</v>
      </c>
      <c r="I35" s="3">
        <v>1876.8502550000001</v>
      </c>
      <c r="J35" s="3" t="s">
        <v>31</v>
      </c>
    </row>
    <row r="36" spans="1:10" x14ac:dyDescent="0.25">
      <c r="A36">
        <v>8</v>
      </c>
      <c r="B36" s="3">
        <v>74</v>
      </c>
      <c r="C36" s="3" t="s">
        <v>57</v>
      </c>
      <c r="D36" s="3" t="s">
        <v>42</v>
      </c>
      <c r="E36" s="3" t="s">
        <v>74</v>
      </c>
      <c r="F36" s="3" t="s">
        <v>33</v>
      </c>
      <c r="G36" s="3">
        <v>43.609037000000001</v>
      </c>
      <c r="H36" s="3">
        <v>1559.0025129999999</v>
      </c>
      <c r="I36" s="3">
        <v>3574.952867</v>
      </c>
      <c r="J36" s="3" t="s">
        <v>31</v>
      </c>
    </row>
    <row r="37" spans="1:10" x14ac:dyDescent="0.25">
      <c r="A37">
        <v>9</v>
      </c>
      <c r="B37" s="3">
        <v>97</v>
      </c>
      <c r="C37" s="3" t="s">
        <v>74</v>
      </c>
      <c r="D37" s="3" t="s">
        <v>33</v>
      </c>
      <c r="E37" s="3" t="s">
        <v>70</v>
      </c>
      <c r="F37" s="3" t="s">
        <v>42</v>
      </c>
      <c r="G37" s="3">
        <v>43.194360000000003</v>
      </c>
      <c r="H37" s="3">
        <v>772.08900400000005</v>
      </c>
      <c r="I37" s="3">
        <v>1787.476433</v>
      </c>
      <c r="J37" s="3" t="s">
        <v>31</v>
      </c>
    </row>
    <row r="38" spans="1:10" x14ac:dyDescent="0.25">
      <c r="A38">
        <v>10</v>
      </c>
      <c r="B38" s="3">
        <v>76</v>
      </c>
      <c r="C38" s="3" t="s">
        <v>58</v>
      </c>
      <c r="D38" s="3" t="s">
        <v>33</v>
      </c>
      <c r="E38" s="3" t="s">
        <v>75</v>
      </c>
      <c r="F38" s="3" t="s">
        <v>33</v>
      </c>
      <c r="G38" s="3">
        <v>42.717483000000001</v>
      </c>
      <c r="H38" s="3">
        <v>1737.1102430000001</v>
      </c>
      <c r="I38" s="3">
        <v>4066.5088860000001</v>
      </c>
      <c r="J38" s="3" t="s">
        <v>31</v>
      </c>
    </row>
    <row r="39" spans="1:10" x14ac:dyDescent="0.25">
      <c r="A39">
        <v>11</v>
      </c>
      <c r="B39" s="3">
        <v>73</v>
      </c>
      <c r="C39" s="3" t="s">
        <v>57</v>
      </c>
      <c r="D39" s="3" t="s">
        <v>42</v>
      </c>
      <c r="E39" s="3" t="s">
        <v>58</v>
      </c>
      <c r="F39" s="3" t="s">
        <v>33</v>
      </c>
      <c r="G39" s="3">
        <v>42.625335999999997</v>
      </c>
      <c r="H39" s="3">
        <v>209.52740399999999</v>
      </c>
      <c r="I39" s="3">
        <v>491.55601899999999</v>
      </c>
      <c r="J39" s="3" t="s">
        <v>31</v>
      </c>
    </row>
    <row r="40" spans="1:10" x14ac:dyDescent="0.25">
      <c r="A40">
        <v>12</v>
      </c>
      <c r="B40" s="3">
        <v>77</v>
      </c>
      <c r="C40" s="3" t="s">
        <v>58</v>
      </c>
      <c r="D40" s="3" t="s">
        <v>33</v>
      </c>
      <c r="E40" s="3" t="s">
        <v>76</v>
      </c>
      <c r="F40" s="3" t="s">
        <v>33</v>
      </c>
      <c r="G40" s="3">
        <v>41.235683000000002</v>
      </c>
      <c r="H40" s="3">
        <v>405.392966</v>
      </c>
      <c r="I40" s="3">
        <v>983.11203799999998</v>
      </c>
      <c r="J40" s="3" t="s">
        <v>31</v>
      </c>
    </row>
    <row r="41" spans="1:10" x14ac:dyDescent="0.25">
      <c r="A41">
        <v>13</v>
      </c>
      <c r="B41" s="3">
        <v>98</v>
      </c>
      <c r="C41" s="3" t="s">
        <v>74</v>
      </c>
      <c r="D41" s="3" t="s">
        <v>33</v>
      </c>
      <c r="E41" s="3" t="s">
        <v>34</v>
      </c>
      <c r="F41" s="3" t="s">
        <v>33</v>
      </c>
      <c r="G41" s="3">
        <v>40.205998000000001</v>
      </c>
      <c r="H41" s="3">
        <v>2156.0182279999999</v>
      </c>
      <c r="I41" s="3">
        <v>5362.4292999999998</v>
      </c>
      <c r="J41" s="3" t="s">
        <v>31</v>
      </c>
    </row>
    <row r="42" spans="1:10" x14ac:dyDescent="0.25">
      <c r="A42">
        <v>14</v>
      </c>
      <c r="B42" s="3">
        <v>79</v>
      </c>
      <c r="C42" s="3" t="s">
        <v>58</v>
      </c>
      <c r="D42" s="3" t="s">
        <v>33</v>
      </c>
      <c r="E42" s="3" t="s">
        <v>77</v>
      </c>
      <c r="F42" s="3" t="s">
        <v>33</v>
      </c>
      <c r="G42" s="3">
        <v>39.761339999999997</v>
      </c>
      <c r="H42" s="3">
        <v>710.72458900000004</v>
      </c>
      <c r="I42" s="3">
        <v>1787.476433</v>
      </c>
      <c r="J42" s="3" t="s">
        <v>31</v>
      </c>
    </row>
    <row r="43" spans="1:10" x14ac:dyDescent="0.25">
      <c r="A43">
        <v>15</v>
      </c>
      <c r="B43" s="3">
        <v>19</v>
      </c>
      <c r="C43" s="3" t="s">
        <v>78</v>
      </c>
      <c r="D43" s="3" t="s">
        <v>79</v>
      </c>
      <c r="E43" s="3" t="s">
        <v>80</v>
      </c>
      <c r="F43" s="3" t="s">
        <v>79</v>
      </c>
      <c r="G43" s="3">
        <v>38.856484999999999</v>
      </c>
      <c r="H43" s="3">
        <v>2187.834116</v>
      </c>
      <c r="I43" s="3">
        <v>5630.550765</v>
      </c>
      <c r="J43" s="3" t="s">
        <v>31</v>
      </c>
    </row>
  </sheetData>
  <mergeCells count="5">
    <mergeCell ref="B1:D1"/>
    <mergeCell ref="E1:F1"/>
    <mergeCell ref="B2:D3"/>
    <mergeCell ref="E2:F3"/>
    <mergeCell ref="A27:J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Summer results</vt:lpstr>
      <vt:lpstr>Winter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Aleksander Rønnevik Nesheim</dc:creator>
  <cp:lastModifiedBy>Aleksander Rønnevik Nesheim</cp:lastModifiedBy>
  <dcterms:created xsi:type="dcterms:W3CDTF">2025-11-15T12:01:23Z</dcterms:created>
  <dcterms:modified xsi:type="dcterms:W3CDTF">2025-11-15T12:41:21Z</dcterms:modified>
</cp:coreProperties>
</file>