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UsN\FM4017 - Project\FM4017-Project Repo Aleks\FM4017-Project\Results\"/>
    </mc:Choice>
  </mc:AlternateContent>
  <xr:revisionPtr revIDLastSave="0" documentId="13_ncr:1_{E7B880F1-20EE-4BFD-B219-E9AB6CEAF9DA}" xr6:coauthVersionLast="47" xr6:coauthVersionMax="47" xr10:uidLastSave="{00000000-0000-0000-0000-000000000000}"/>
  <bookViews>
    <workbookView xWindow="-120" yWindow="-120" windowWidth="29040" windowHeight="15720" xr2:uid="{089DFE3C-1AA3-42DD-925B-CFD0D2BBAEE5}"/>
  </bookViews>
  <sheets>
    <sheet name="Result_generator_capacity" sheetId="2" r:id="rId1"/>
    <sheet name="Result_storage_units_capaci (2)" sheetId="3" r:id="rId2"/>
  </sheets>
  <definedNames>
    <definedName name="EksterneData_1" localSheetId="0" hidden="1">'Result_generator_capacity'!$A$1:$N$13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2" l="1"/>
  <c r="F133" i="2"/>
  <c r="E133" i="2"/>
  <c r="D133" i="2"/>
  <c r="C133" i="2"/>
  <c r="F132" i="2"/>
  <c r="E132" i="2"/>
  <c r="D132" i="2"/>
  <c r="C132" i="2"/>
  <c r="B132" i="2"/>
  <c r="C130" i="2"/>
  <c r="D130" i="2"/>
  <c r="E130" i="2"/>
  <c r="F130" i="2"/>
  <c r="B130" i="2"/>
  <c r="F129" i="2"/>
  <c r="D129" i="2"/>
  <c r="E129" i="2"/>
  <c r="B129" i="2"/>
  <c r="B128" i="2"/>
  <c r="B134" i="2" s="1"/>
  <c r="C128" i="2"/>
  <c r="D128" i="2"/>
  <c r="E128" i="2"/>
  <c r="F128" i="2"/>
  <c r="C127" i="2"/>
  <c r="D127" i="2"/>
  <c r="E127" i="2"/>
  <c r="F127" i="2"/>
  <c r="B127" i="2"/>
  <c r="C123" i="2"/>
  <c r="D123" i="2"/>
  <c r="E123" i="2"/>
  <c r="F123" i="2"/>
  <c r="B123" i="2"/>
  <c r="C121" i="2"/>
  <c r="D121" i="2"/>
  <c r="D134" i="2" s="1"/>
  <c r="E121" i="2"/>
  <c r="E134" i="2" s="1"/>
  <c r="F121" i="2"/>
  <c r="F134" i="2" s="1"/>
  <c r="B121" i="2"/>
  <c r="C120" i="2"/>
  <c r="D120" i="2"/>
  <c r="E120" i="2"/>
  <c r="F120" i="2"/>
  <c r="B120" i="2"/>
  <c r="F119" i="2"/>
  <c r="E119" i="2"/>
  <c r="D119" i="2"/>
  <c r="C119" i="2"/>
  <c r="C134" i="2" s="1"/>
  <c r="B119" i="2"/>
  <c r="B89" i="2"/>
  <c r="B133" i="2" s="1"/>
  <c r="B61" i="2"/>
  <c r="F33" i="2"/>
  <c r="E33" i="2"/>
  <c r="D33" i="2"/>
  <c r="B33" i="2"/>
  <c r="C32" i="2"/>
  <c r="C33" i="2" s="1"/>
  <c r="C34" i="2" s="1"/>
  <c r="D32" i="2"/>
  <c r="E32" i="2"/>
  <c r="F32" i="2"/>
  <c r="G32" i="2"/>
  <c r="G33" i="2" s="1"/>
  <c r="H32" i="2"/>
  <c r="H33" i="2" s="1"/>
  <c r="I32" i="2"/>
  <c r="I33" i="2" s="1"/>
  <c r="J32" i="2"/>
  <c r="J33" i="2" s="1"/>
  <c r="K32" i="2"/>
  <c r="K33" i="2" s="1"/>
  <c r="L32" i="2"/>
  <c r="L33" i="2" s="1"/>
  <c r="B32" i="2"/>
  <c r="B34" i="2" s="1"/>
  <c r="C53" i="2"/>
  <c r="B53" i="2"/>
  <c r="D53" i="2"/>
  <c r="B135" i="2" l="1"/>
  <c r="I34" i="2"/>
  <c r="I56" i="2" s="1"/>
  <c r="B56" i="2"/>
  <c r="C56" i="2"/>
  <c r="D34" i="2"/>
  <c r="D56" i="2" s="1"/>
  <c r="B5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7B9602-D7F4-46E9-8665-47E9BD51CE67}" keepAlive="1" name="Spørring - Result_generator_capacity" description="Tilkobling til spørringen Result_generator_capacity i arbeidsboken." type="5" refreshedVersion="8" background="1" saveData="1">
    <dbPr connection="Provider=Microsoft.Mashup.OleDb.1;Data Source=$Workbook$;Location=Result_generator_capacity;Extended Properties=&quot;&quot;" command="SELECT * FROM [Result_generator_capacity]"/>
  </connection>
  <connection id="2" xr16:uid="{1C0FA689-7468-41DA-89D8-067935C7B599}" keepAlive="1" name="Spørring - Result_storage_units_capacity" description="Tilkobling til spørringen Result_storage_units_capacity i arbeidsboken." type="5" refreshedVersion="0" background="1">
    <dbPr connection="Provider=Microsoft.Mashup.OleDb.1;Data Source=$Workbook$;Location=Result_storage_units_capacity;Extended Properties=&quot;&quot;" command="SELECT * FROM [Result_storage_units_capacity]"/>
  </connection>
</connections>
</file>

<file path=xl/sharedStrings.xml><?xml version="1.0" encoding="utf-8"?>
<sst xmlns="http://schemas.openxmlformats.org/spreadsheetml/2006/main" count="551" uniqueCount="184">
  <si>
    <t>zone</t>
  </si>
  <si>
    <t>CCGT</t>
  </si>
  <si>
    <t>biomass</t>
  </si>
  <si>
    <t>coal</t>
  </si>
  <si>
    <t>nuclear</t>
  </si>
  <si>
    <t>offwind-ac</t>
  </si>
  <si>
    <t>offwind-dc</t>
  </si>
  <si>
    <t>offwind-float</t>
  </si>
  <si>
    <t>oil</t>
  </si>
  <si>
    <t>onwind</t>
  </si>
  <si>
    <t>other</t>
  </si>
  <si>
    <t>ror</t>
  </si>
  <si>
    <t>solar</t>
  </si>
  <si>
    <t>solar-hsat</t>
  </si>
  <si>
    <t>DK_2</t>
  </si>
  <si>
    <t>1038.0</t>
  </si>
  <si>
    <t>311.0</t>
  </si>
  <si>
    <t>1266.0</t>
  </si>
  <si>
    <t>0.0</t>
  </si>
  <si>
    <t>1050.0</t>
  </si>
  <si>
    <t>819.2</t>
  </si>
  <si>
    <t>1.0</t>
  </si>
  <si>
    <t>539.0</t>
  </si>
  <si>
    <t>FI</t>
  </si>
  <si>
    <t>2709.6</t>
  </si>
  <si>
    <t>3226.9</t>
  </si>
  <si>
    <t>1661.8</t>
  </si>
  <si>
    <t>4362.0</t>
  </si>
  <si>
    <t>73.0</t>
  </si>
  <si>
    <t>697.0</t>
  </si>
  <si>
    <t>9468.4</t>
  </si>
  <si>
    <t>9.0</t>
  </si>
  <si>
    <t>1470.6</t>
  </si>
  <si>
    <t>318.0</t>
  </si>
  <si>
    <t>NO_1</t>
  </si>
  <si>
    <t>376.0</t>
  </si>
  <si>
    <t>5.0</t>
  </si>
  <si>
    <t>632.5</t>
  </si>
  <si>
    <t>49.5</t>
  </si>
  <si>
    <t>NO_2</t>
  </si>
  <si>
    <t>50.0</t>
  </si>
  <si>
    <t>1635.8</t>
  </si>
  <si>
    <t>8.0</t>
  </si>
  <si>
    <t>185.0</t>
  </si>
  <si>
    <t>34.1</t>
  </si>
  <si>
    <t>NO_3</t>
  </si>
  <si>
    <t>1741.0</t>
  </si>
  <si>
    <t>6.0</t>
  </si>
  <si>
    <t>300.0</t>
  </si>
  <si>
    <t>35.4</t>
  </si>
  <si>
    <t>NO_4</t>
  </si>
  <si>
    <t>459.0</t>
  </si>
  <si>
    <t>1043.0</t>
  </si>
  <si>
    <t>11.0</t>
  </si>
  <si>
    <t>NO_5</t>
  </si>
  <si>
    <t>294.0</t>
  </si>
  <si>
    <t>88.0</t>
  </si>
  <si>
    <t>733.0</t>
  </si>
  <si>
    <t>3.0</t>
  </si>
  <si>
    <t>75.0</t>
  </si>
  <si>
    <t>29.8</t>
  </si>
  <si>
    <t>SE_1</t>
  </si>
  <si>
    <t>35.0</t>
  </si>
  <si>
    <t>10.3</t>
  </si>
  <si>
    <t>3547.3</t>
  </si>
  <si>
    <t>4.0</t>
  </si>
  <si>
    <t>212.0</t>
  </si>
  <si>
    <t>8.2</t>
  </si>
  <si>
    <t>SE_2</t>
  </si>
  <si>
    <t>245.0</t>
  </si>
  <si>
    <t>2.3</t>
  </si>
  <si>
    <t>7284.7</t>
  </si>
  <si>
    <t>846.0</t>
  </si>
  <si>
    <t>69.0</t>
  </si>
  <si>
    <t>SE_3</t>
  </si>
  <si>
    <t>664.0</t>
  </si>
  <si>
    <t>8617.0</t>
  </si>
  <si>
    <t>53.1</t>
  </si>
  <si>
    <t>4304.4</t>
  </si>
  <si>
    <t>13.0</t>
  </si>
  <si>
    <t>221.0</t>
  </si>
  <si>
    <t>706.9</t>
  </si>
  <si>
    <t>SE_4</t>
  </si>
  <si>
    <t>167.0</t>
  </si>
  <si>
    <t>137.2</t>
  </si>
  <si>
    <t>1451.4</t>
  </si>
  <si>
    <t>322.8</t>
  </si>
  <si>
    <t>Kolonne1</t>
  </si>
  <si>
    <t>Kolonne2</t>
  </si>
  <si>
    <t>Kolonne3</t>
  </si>
  <si>
    <t>Kolonne4</t>
  </si>
  <si>
    <t>Kolonne5</t>
  </si>
  <si>
    <t>Kolonne6</t>
  </si>
  <si>
    <t>Kolonne7</t>
  </si>
  <si>
    <t>Kolonne8</t>
  </si>
  <si>
    <t>Kolonne9</t>
  </si>
  <si>
    <t>Kolonne10</t>
  </si>
  <si>
    <t>Kolonne11</t>
  </si>
  <si>
    <t>Kolonne12</t>
  </si>
  <si>
    <t>Kolonne13</t>
  </si>
  <si>
    <t>Kolonne14</t>
  </si>
  <si>
    <t>PHS</t>
  </si>
  <si>
    <t>hydro</t>
  </si>
  <si>
    <t>1171.0</t>
  </si>
  <si>
    <t>2040.8</t>
  </si>
  <si>
    <t>11218.3</t>
  </si>
  <si>
    <t>60.3</t>
  </si>
  <si>
    <t>4067.5</t>
  </si>
  <si>
    <t>4969.7</t>
  </si>
  <si>
    <t>139.0</t>
  </si>
  <si>
    <t>7974.7</t>
  </si>
  <si>
    <t>4770.0</t>
  </si>
  <si>
    <t>4639.9</t>
  </si>
  <si>
    <t>92.0</t>
  </si>
  <si>
    <t>1363.3</t>
  </si>
  <si>
    <t>105.9</t>
  </si>
  <si>
    <t>From model</t>
  </si>
  <si>
    <t>From ENTSO-E</t>
  </si>
  <si>
    <t>N/A</t>
  </si>
  <si>
    <t>Total grand capacity per zone</t>
  </si>
  <si>
    <t>Yellow values are not updated yet</t>
  </si>
  <si>
    <t>Total grand capacity per zone incl. Storage</t>
  </si>
  <si>
    <t>Total per country incl. Storage</t>
  </si>
  <si>
    <t>Total grand capacity per zone excl. Storage</t>
  </si>
  <si>
    <t xml:space="preserve">Total capacity difference (ENTSO-E - model values): </t>
  </si>
  <si>
    <t>Sum of differenace:</t>
  </si>
  <si>
    <t>Our model per now has a defficit of 3828.4 MW of installed capacity</t>
  </si>
  <si>
    <t>Hydro Water Reservoir</t>
  </si>
  <si>
    <t>Energy storage</t>
  </si>
  <si>
    <t>n/e</t>
  </si>
  <si>
    <t>Other</t>
  </si>
  <si>
    <t>Other renewable</t>
  </si>
  <si>
    <t>Fossil Gas</t>
  </si>
  <si>
    <t>Fossil Oil shale</t>
  </si>
  <si>
    <t>Nuclear</t>
  </si>
  <si>
    <t>Fossil Peat</t>
  </si>
  <si>
    <t>Fossil Coal-derived gas</t>
  </si>
  <si>
    <t>Solar</t>
  </si>
  <si>
    <t>Hydro Pumped Storage</t>
  </si>
  <si>
    <t>Fossil Hard coal</t>
  </si>
  <si>
    <t>Fossil Oil</t>
  </si>
  <si>
    <t>Wind Onshore</t>
  </si>
  <si>
    <t>Wind Offshore</t>
  </si>
  <si>
    <t>Marine</t>
  </si>
  <si>
    <t>Fossil Brown coal/Lignite</t>
  </si>
  <si>
    <t>Waste</t>
  </si>
  <si>
    <t>Biomass</t>
  </si>
  <si>
    <t>Geothermal</t>
  </si>
  <si>
    <t>Hydro Run-of-river and poundage</t>
  </si>
  <si>
    <t>Total Grand capacity</t>
  </si>
  <si>
    <t>Zone</t>
  </si>
  <si>
    <t>Norway specific comparrison - Numbers from ENTSO-E</t>
  </si>
  <si>
    <r>
      <t>"Fossil Brown coal/Lignite"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</si>
  <si>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"Fossil Peat"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</si>
  <si>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"Waste"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</si>
  <si>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"Other renewable"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</si>
  <si>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CE9178"/>
        <rFont val="Consolas"/>
        <family val="3"/>
      </rPr>
      <t>"Fossil Oil"</t>
    </r>
  </si>
  <si>
    <t xml:space="preserve">Other = </t>
  </si>
  <si>
    <t>"Other"</t>
  </si>
  <si>
    <r>
      <t> </t>
    </r>
    <r>
      <rPr>
        <sz val="11"/>
        <color rgb="FF4FC1FF"/>
        <rFont val="Consolas"/>
        <family val="3"/>
      </rPr>
      <t>ENTSOE_TO_CARRIERS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{</t>
    </r>
  </si>
  <si>
    <r>
      <t xml:space="preserve">        </t>
    </r>
    <r>
      <rPr>
        <sz val="11"/>
        <color rgb="FFCE9178"/>
        <rFont val="Consolas"/>
        <family val="3"/>
      </rPr>
      <t>"Fossil Gas"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"ccgt"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"ocgt"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</si>
  <si>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"Biomass"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"biomass"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</si>
  <si>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"Fossil Hard coal"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"coal"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</si>
  <si>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6A9955"/>
        <rFont val="Consolas"/>
        <family val="3"/>
      </rPr>
      <t>#"Fossil Brown coal/Lignite":["other"],</t>
    </r>
  </si>
  <si>
    <r>
      <t xml:space="preserve">        </t>
    </r>
    <r>
      <rPr>
        <sz val="11"/>
        <color rgb="FFCE9178"/>
        <rFont val="Consolas"/>
        <family val="3"/>
      </rPr>
      <t>"Fossil Oil"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"oil"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</si>
  <si>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6A9955"/>
        <rFont val="Consolas"/>
        <family val="3"/>
      </rPr>
      <t>#"Fossil Peat":["other"],</t>
    </r>
  </si>
  <si>
    <r>
      <t xml:space="preserve">        </t>
    </r>
    <r>
      <rPr>
        <sz val="11"/>
        <color rgb="FFCE9178"/>
        <rFont val="Consolas"/>
        <family val="3"/>
      </rPr>
      <t>"Nuclear"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"nuclear"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</si>
  <si>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"Wind Onshore"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"onwind"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</si>
  <si>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"Wind Offshore"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"offwind-ac"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"offwind-dc"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"offwind-float"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</si>
  <si>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"Solar"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"solar"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"solar-hsat"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</si>
  <si>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"Hydro Run-of-river and poundage"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"ror"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</si>
  <si>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"Hydro Pumped Storage"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"phs"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</si>
  <si>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CE9178"/>
        <rFont val="Consolas"/>
        <family val="3"/>
      </rPr>
      <t>"Hydro Water Reservoir"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"hydro"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</si>
  <si>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6A9955"/>
        <rFont val="Consolas"/>
        <family val="3"/>
      </rPr>
      <t>#"Waste":["other"],</t>
    </r>
  </si>
  <si>
    <r>
      <t xml:space="preserve">        </t>
    </r>
    <r>
      <rPr>
        <sz val="11"/>
        <color rgb="FFCE9178"/>
        <rFont val="Consolas"/>
        <family val="3"/>
      </rPr>
      <t>"Other"</t>
    </r>
    <r>
      <rPr>
        <sz val="11"/>
        <color rgb="FFCCCCCC"/>
        <rFont val="Consolas"/>
        <family val="3"/>
      </rPr>
      <t>:[</t>
    </r>
    <r>
      <rPr>
        <sz val="11"/>
        <color rgb="FFCE9178"/>
        <rFont val="Consolas"/>
        <family val="3"/>
      </rPr>
      <t>"other"</t>
    </r>
    <r>
      <rPr>
        <sz val="11"/>
        <color rgb="FFCCCCCC"/>
        <rFont val="Consolas"/>
        <family val="3"/>
      </rPr>
      <t>],</t>
    </r>
  </si>
  <si>
    <r>
      <t xml:space="preserve">        </t>
    </r>
    <r>
      <rPr>
        <sz val="11"/>
        <color rgb="FF6A9955"/>
        <rFont val="Consolas"/>
        <family val="3"/>
      </rPr>
      <t>#"Other renewable":["other"],</t>
    </r>
  </si>
  <si>
    <t>        }</t>
  </si>
  <si>
    <t>pumped hydro</t>
  </si>
  <si>
    <t>Sum of diff</t>
  </si>
  <si>
    <t>Difference between ENTSO and model (ENTSO number - model number) 2023 numbers</t>
  </si>
  <si>
    <t>NO</t>
  </si>
  <si>
    <t>SE</t>
  </si>
  <si>
    <t>ENTSO cap per country. For the zones in the Nordic sync grid:</t>
  </si>
  <si>
    <t>Country/Zone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</si>
</sst>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Inherit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E9178"/>
      <name val="Consolas"/>
      <family val="3"/>
    </font>
    <font>
      <sz val="11"/>
      <color rgb="FF4FC1FF"/>
      <name val="Consolas"/>
      <family val="3"/>
    </font>
    <font>
      <sz val="11"/>
      <color rgb="FFD4D4D4"/>
      <name val="Consolas"/>
      <family val="3"/>
    </font>
    <font>
      <sz val="11"/>
      <color rgb="FF6A9955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8E8E8"/>
      </right>
      <top style="medium">
        <color rgb="FFC5C5C5"/>
      </top>
      <bottom style="medium">
        <color rgb="FFC5C5C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E8E8E8"/>
      </right>
      <top style="medium">
        <color rgb="FFC5C5C5"/>
      </top>
      <bottom style="medium">
        <color rgb="FFC5C5C5"/>
      </bottom>
      <diagonal/>
    </border>
    <border>
      <left style="medium">
        <color indexed="64"/>
      </left>
      <right style="medium">
        <color rgb="FFE8E8E8"/>
      </right>
      <top style="medium">
        <color rgb="FFC5C5C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4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4" borderId="18" xfId="8" applyNumberFormat="1" applyBorder="1"/>
    <xf numFmtId="0" fontId="0" fillId="0" borderId="22" xfId="0" applyBorder="1"/>
    <xf numFmtId="0" fontId="0" fillId="0" borderId="23" xfId="0" applyBorder="1"/>
    <xf numFmtId="0" fontId="8" fillId="4" borderId="23" xfId="8" applyNumberFormat="1" applyBorder="1"/>
    <xf numFmtId="0" fontId="0" fillId="0" borderId="22" xfId="0" applyBorder="1" applyAlignment="1">
      <alignment wrapText="1"/>
    </xf>
    <xf numFmtId="0" fontId="11" fillId="6" borderId="4" xfId="11" applyAlignment="1">
      <alignment wrapText="1"/>
    </xf>
    <xf numFmtId="0" fontId="11" fillId="6" borderId="4" xfId="11"/>
    <xf numFmtId="0" fontId="0" fillId="0" borderId="0" xfId="0" applyAlignment="1">
      <alignment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6" borderId="4" xfId="11" applyAlignment="1">
      <alignment horizontal="center"/>
    </xf>
    <xf numFmtId="0" fontId="18" fillId="34" borderId="24" xfId="0" applyFont="1" applyFill="1" applyBorder="1" applyAlignment="1">
      <alignment vertical="center"/>
    </xf>
    <xf numFmtId="0" fontId="0" fillId="0" borderId="0" xfId="0" applyAlignment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4" xfId="0" applyBorder="1"/>
    <xf numFmtId="0" fontId="0" fillId="0" borderId="0" xfId="0" applyBorder="1"/>
    <xf numFmtId="0" fontId="18" fillId="34" borderId="28" xfId="0" applyFont="1" applyFill="1" applyBorder="1" applyAlignment="1">
      <alignment vertical="center"/>
    </xf>
    <xf numFmtId="0" fontId="18" fillId="34" borderId="29" xfId="0" applyFont="1" applyFill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20" fillId="0" borderId="0" xfId="0" applyFont="1" applyAlignment="1">
      <alignment vertical="center"/>
    </xf>
    <xf numFmtId="0" fontId="0" fillId="0" borderId="0" xfId="0" applyFill="1" applyBorder="1"/>
    <xf numFmtId="0" fontId="8" fillId="4" borderId="0" xfId="8" applyNumberFormat="1" applyBorder="1"/>
    <xf numFmtId="0" fontId="0" fillId="0" borderId="32" xfId="0" applyFill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8" fillId="4" borderId="15" xfId="8" applyNumberFormat="1" applyBorder="1"/>
    <xf numFmtId="0" fontId="0" fillId="0" borderId="3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2755F2F4-E7AD-479E-822A-CE64079733A7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7CEE3-5A18-4FAC-B96D-6B3508894479}" name="Result_generator_capacity" displayName="Result_generator_capacity" ref="A1:N13" tableType="queryTable" totalsRowShown="0">
  <autoFilter ref="A1:N13" xr:uid="{7267CEE3-5A18-4FAC-B96D-6B3508894479}"/>
  <tableColumns count="14">
    <tableColumn id="1" xr3:uid="{AA45025B-5B8E-449F-A28A-4D1B0DCA65CD}" uniqueName="1" name="Kolonne1" queryTableFieldId="1" dataDxfId="13"/>
    <tableColumn id="2" xr3:uid="{56A99E31-80B4-49EB-9C5F-9D09AB6D8521}" uniqueName="2" name="Kolonne2" queryTableFieldId="2" dataDxfId="12"/>
    <tableColumn id="3" xr3:uid="{74E237B3-28E5-4137-A6B8-37F9B297ADF9}" uniqueName="3" name="Kolonne3" queryTableFieldId="3" dataDxfId="11"/>
    <tableColumn id="4" xr3:uid="{43BAB0EB-0544-41BC-B06E-08AD4C20029A}" uniqueName="4" name="Kolonne4" queryTableFieldId="4" dataDxfId="10"/>
    <tableColumn id="5" xr3:uid="{CAEC7D21-97CA-448E-B035-43C7DC449B70}" uniqueName="5" name="Kolonne5" queryTableFieldId="5" dataDxfId="9"/>
    <tableColumn id="6" xr3:uid="{DEAF5D1D-09E8-41ED-961B-61FEB978B588}" uniqueName="6" name="Kolonne6" queryTableFieldId="6" dataDxfId="8"/>
    <tableColumn id="7" xr3:uid="{64053AB7-B347-47EF-AF0C-FCD18B53F507}" uniqueName="7" name="Kolonne7" queryTableFieldId="7" dataDxfId="7"/>
    <tableColumn id="8" xr3:uid="{2B1D605B-F011-4F3C-8270-D65B33E80735}" uniqueName="8" name="Kolonne8" queryTableFieldId="8" dataDxfId="6"/>
    <tableColumn id="9" xr3:uid="{26C3CE83-0058-4FFD-A9E1-F5ABCE2BD396}" uniqueName="9" name="Kolonne9" queryTableFieldId="9" dataDxfId="5"/>
    <tableColumn id="10" xr3:uid="{2831DFD4-D99A-4005-89F9-A571CD14CD99}" uniqueName="10" name="Kolonne10" queryTableFieldId="10" dataDxfId="4"/>
    <tableColumn id="11" xr3:uid="{BBE065AD-006F-4E2C-A369-EC50E58B5890}" uniqueName="11" name="Kolonne11" queryTableFieldId="11" dataDxfId="3"/>
    <tableColumn id="12" xr3:uid="{0999F510-884A-4B54-A8DC-38AB10600D6E}" uniqueName="12" name="Kolonne12" queryTableFieldId="12" dataDxfId="2"/>
    <tableColumn id="13" xr3:uid="{91ACA161-DB60-4FB9-AEFE-3A30FD4BB705}" uniqueName="13" name="Kolonne13" queryTableFieldId="13" dataDxfId="1"/>
    <tableColumn id="14" xr3:uid="{687F8B2C-5196-42F2-8617-2F04132C8002}" uniqueName="14" name="Kolonne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895-4CF1-42A6-A347-74E37A45CACB}">
  <dimension ref="A1:Z168"/>
  <sheetViews>
    <sheetView tabSelected="1" topLeftCell="A10" workbookViewId="0">
      <selection activeCell="E148" sqref="A148:E148"/>
    </sheetView>
  </sheetViews>
  <sheetFormatPr baseColWidth="10" defaultRowHeight="15"/>
  <cols>
    <col min="1" max="1" width="32.28515625" bestFit="1" customWidth="1"/>
    <col min="8" max="8" width="12.28515625" bestFit="1" customWidth="1"/>
    <col min="10" max="14" width="12.42578125" bestFit="1" customWidth="1"/>
  </cols>
  <sheetData>
    <row r="1" spans="1:14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18</v>
      </c>
      <c r="I3" t="s">
        <v>18</v>
      </c>
      <c r="J3" t="s">
        <v>20</v>
      </c>
      <c r="K3" t="s">
        <v>21</v>
      </c>
      <c r="L3" t="s">
        <v>18</v>
      </c>
      <c r="M3" t="s">
        <v>22</v>
      </c>
      <c r="N3" t="s">
        <v>18</v>
      </c>
    </row>
    <row r="4" spans="1:1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18</v>
      </c>
      <c r="H4" t="s">
        <v>18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18</v>
      </c>
    </row>
    <row r="5" spans="1:14">
      <c r="A5" t="s">
        <v>34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35</v>
      </c>
      <c r="K5" t="s">
        <v>36</v>
      </c>
      <c r="L5" t="s">
        <v>37</v>
      </c>
      <c r="M5" t="s">
        <v>38</v>
      </c>
      <c r="N5" t="s">
        <v>18</v>
      </c>
    </row>
    <row r="6" spans="1:14">
      <c r="A6" t="s">
        <v>39</v>
      </c>
      <c r="B6" t="s">
        <v>18</v>
      </c>
      <c r="C6" t="s">
        <v>18</v>
      </c>
      <c r="D6" t="s">
        <v>18</v>
      </c>
      <c r="E6" t="s">
        <v>18</v>
      </c>
      <c r="F6" t="s">
        <v>40</v>
      </c>
      <c r="G6" t="s">
        <v>18</v>
      </c>
      <c r="H6" t="s">
        <v>18</v>
      </c>
      <c r="I6" t="s">
        <v>18</v>
      </c>
      <c r="J6" t="s">
        <v>41</v>
      </c>
      <c r="K6" t="s">
        <v>42</v>
      </c>
      <c r="L6" t="s">
        <v>43</v>
      </c>
      <c r="M6" t="s">
        <v>44</v>
      </c>
      <c r="N6" t="s">
        <v>18</v>
      </c>
    </row>
    <row r="7" spans="1:14">
      <c r="A7" t="s">
        <v>45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46</v>
      </c>
      <c r="K7" t="s">
        <v>47</v>
      </c>
      <c r="L7" t="s">
        <v>48</v>
      </c>
      <c r="M7" t="s">
        <v>49</v>
      </c>
      <c r="N7" t="s">
        <v>18</v>
      </c>
    </row>
    <row r="8" spans="1:14">
      <c r="A8" t="s">
        <v>50</v>
      </c>
      <c r="B8" t="s">
        <v>51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52</v>
      </c>
      <c r="K8" t="s">
        <v>47</v>
      </c>
      <c r="L8" t="s">
        <v>48</v>
      </c>
      <c r="M8" t="s">
        <v>53</v>
      </c>
      <c r="N8" t="s">
        <v>18</v>
      </c>
    </row>
    <row r="9" spans="1:14">
      <c r="A9" t="s">
        <v>54</v>
      </c>
      <c r="B9" t="s">
        <v>55</v>
      </c>
      <c r="C9" t="s">
        <v>18</v>
      </c>
      <c r="D9" t="s">
        <v>18</v>
      </c>
      <c r="E9" t="s">
        <v>18</v>
      </c>
      <c r="F9" t="s">
        <v>56</v>
      </c>
      <c r="G9" t="s">
        <v>18</v>
      </c>
      <c r="H9" t="s">
        <v>18</v>
      </c>
      <c r="I9" t="s">
        <v>18</v>
      </c>
      <c r="J9" t="s">
        <v>57</v>
      </c>
      <c r="K9" t="s">
        <v>58</v>
      </c>
      <c r="L9" t="s">
        <v>59</v>
      </c>
      <c r="M9" t="s">
        <v>60</v>
      </c>
      <c r="N9" t="s">
        <v>18</v>
      </c>
    </row>
    <row r="10" spans="1:14">
      <c r="A10" t="s">
        <v>61</v>
      </c>
      <c r="B10" t="s">
        <v>18</v>
      </c>
      <c r="C10" t="s">
        <v>62</v>
      </c>
      <c r="D10" t="s">
        <v>18</v>
      </c>
      <c r="E10" t="s">
        <v>18</v>
      </c>
      <c r="F10" t="s">
        <v>63</v>
      </c>
      <c r="G10" t="s">
        <v>18</v>
      </c>
      <c r="H10" t="s">
        <v>18</v>
      </c>
      <c r="I10" t="s">
        <v>18</v>
      </c>
      <c r="J10" t="s">
        <v>64</v>
      </c>
      <c r="K10" t="s">
        <v>65</v>
      </c>
      <c r="L10" t="s">
        <v>66</v>
      </c>
      <c r="M10" t="s">
        <v>67</v>
      </c>
      <c r="N10" t="s">
        <v>18</v>
      </c>
    </row>
    <row r="11" spans="1:14">
      <c r="A11" t="s">
        <v>68</v>
      </c>
      <c r="B11" t="s">
        <v>18</v>
      </c>
      <c r="C11" t="s">
        <v>69</v>
      </c>
      <c r="D11" t="s">
        <v>18</v>
      </c>
      <c r="E11" t="s">
        <v>18</v>
      </c>
      <c r="F11" t="s">
        <v>70</v>
      </c>
      <c r="G11" t="s">
        <v>18</v>
      </c>
      <c r="H11" t="s">
        <v>18</v>
      </c>
      <c r="I11" t="s">
        <v>18</v>
      </c>
      <c r="J11" t="s">
        <v>71</v>
      </c>
      <c r="K11" t="s">
        <v>36</v>
      </c>
      <c r="L11" t="s">
        <v>72</v>
      </c>
      <c r="M11" t="s">
        <v>73</v>
      </c>
      <c r="N11" t="s">
        <v>18</v>
      </c>
    </row>
    <row r="12" spans="1:14">
      <c r="A12" t="s">
        <v>74</v>
      </c>
      <c r="B12" t="s">
        <v>40</v>
      </c>
      <c r="C12" t="s">
        <v>75</v>
      </c>
      <c r="D12" t="s">
        <v>18</v>
      </c>
      <c r="E12" t="s">
        <v>76</v>
      </c>
      <c r="F12" t="s">
        <v>77</v>
      </c>
      <c r="G12" t="s">
        <v>18</v>
      </c>
      <c r="H12" t="s">
        <v>18</v>
      </c>
      <c r="I12" t="s">
        <v>18</v>
      </c>
      <c r="J12" t="s">
        <v>78</v>
      </c>
      <c r="K12" t="s">
        <v>79</v>
      </c>
      <c r="L12" t="s">
        <v>80</v>
      </c>
      <c r="M12" t="s">
        <v>81</v>
      </c>
      <c r="N12" t="s">
        <v>18</v>
      </c>
    </row>
    <row r="13" spans="1:14">
      <c r="A13" t="s">
        <v>82</v>
      </c>
      <c r="B13" t="s">
        <v>18</v>
      </c>
      <c r="C13" t="s">
        <v>83</v>
      </c>
      <c r="D13" t="s">
        <v>18</v>
      </c>
      <c r="E13" t="s">
        <v>18</v>
      </c>
      <c r="F13" t="s">
        <v>84</v>
      </c>
      <c r="G13" t="s">
        <v>18</v>
      </c>
      <c r="H13" t="s">
        <v>18</v>
      </c>
      <c r="I13" t="s">
        <v>18</v>
      </c>
      <c r="J13" t="s">
        <v>85</v>
      </c>
      <c r="K13" t="s">
        <v>65</v>
      </c>
      <c r="L13" t="s">
        <v>18</v>
      </c>
      <c r="M13" t="s">
        <v>86</v>
      </c>
      <c r="N13" t="s">
        <v>18</v>
      </c>
    </row>
    <row r="16" spans="1:14" ht="15.75" thickBot="1"/>
    <row r="17" spans="1:26">
      <c r="A17" s="22" t="s">
        <v>116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P17" s="20" t="s">
        <v>116</v>
      </c>
      <c r="Q17" s="20"/>
      <c r="R17" s="20"/>
      <c r="T17" t="s">
        <v>117</v>
      </c>
    </row>
    <row r="18" spans="1:26">
      <c r="A18" s="13" t="s">
        <v>0</v>
      </c>
      <c r="B18" s="11" t="s">
        <v>14</v>
      </c>
      <c r="C18" s="11" t="s">
        <v>23</v>
      </c>
      <c r="D18" s="11" t="s">
        <v>34</v>
      </c>
      <c r="E18" s="11" t="s">
        <v>39</v>
      </c>
      <c r="F18" s="11" t="s">
        <v>45</v>
      </c>
      <c r="G18" s="11" t="s">
        <v>50</v>
      </c>
      <c r="H18" s="11" t="s">
        <v>54</v>
      </c>
      <c r="I18" s="11" t="s">
        <v>61</v>
      </c>
      <c r="J18" s="11" t="s">
        <v>68</v>
      </c>
      <c r="K18" s="11" t="s">
        <v>74</v>
      </c>
      <c r="L18" s="14" t="s">
        <v>82</v>
      </c>
      <c r="P18" s="1" t="s">
        <v>0</v>
      </c>
      <c r="Q18" s="2" t="s">
        <v>101</v>
      </c>
      <c r="R18" s="3" t="s">
        <v>102</v>
      </c>
      <c r="T18" s="1" t="s">
        <v>0</v>
      </c>
      <c r="U18" s="2" t="s">
        <v>101</v>
      </c>
      <c r="V18" s="3" t="s">
        <v>102</v>
      </c>
      <c r="Z18" s="7"/>
    </row>
    <row r="19" spans="1:26">
      <c r="A19" s="13" t="s">
        <v>1</v>
      </c>
      <c r="B19" s="11">
        <v>1038</v>
      </c>
      <c r="C19" s="11">
        <v>2709.6</v>
      </c>
      <c r="D19" s="11">
        <v>0</v>
      </c>
      <c r="E19" s="11">
        <v>0</v>
      </c>
      <c r="F19" s="11">
        <v>0</v>
      </c>
      <c r="G19" s="11">
        <v>459</v>
      </c>
      <c r="H19" s="11">
        <v>294</v>
      </c>
      <c r="I19" s="11">
        <v>0</v>
      </c>
      <c r="J19" s="11">
        <v>0</v>
      </c>
      <c r="K19" s="11">
        <v>50</v>
      </c>
      <c r="L19" s="14">
        <v>0</v>
      </c>
      <c r="P19" s="4" t="s">
        <v>23</v>
      </c>
      <c r="Q19" s="5">
        <v>0</v>
      </c>
      <c r="R19" s="6">
        <v>1171</v>
      </c>
      <c r="T19" s="4" t="s">
        <v>23</v>
      </c>
      <c r="U19" s="5" t="s">
        <v>18</v>
      </c>
      <c r="V19" s="6">
        <v>0</v>
      </c>
      <c r="Z19" s="7"/>
    </row>
    <row r="20" spans="1:26">
      <c r="A20" s="13" t="s">
        <v>2</v>
      </c>
      <c r="B20" s="11">
        <v>311</v>
      </c>
      <c r="C20" s="11">
        <v>3226.9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35</v>
      </c>
      <c r="J20" s="11">
        <v>245</v>
      </c>
      <c r="K20" s="11">
        <v>664</v>
      </c>
      <c r="L20" s="14">
        <v>167</v>
      </c>
      <c r="P20" s="1" t="s">
        <v>34</v>
      </c>
      <c r="Q20" s="2">
        <v>0</v>
      </c>
      <c r="R20" s="3">
        <v>2040.8</v>
      </c>
      <c r="T20" s="1" t="s">
        <v>34</v>
      </c>
      <c r="U20" s="2" t="s">
        <v>18</v>
      </c>
      <c r="V20" s="3">
        <v>1429</v>
      </c>
      <c r="Z20" s="7"/>
    </row>
    <row r="21" spans="1:26">
      <c r="A21" s="13" t="s">
        <v>3</v>
      </c>
      <c r="B21" s="11">
        <v>1266</v>
      </c>
      <c r="C21" s="11">
        <v>1661.8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4">
        <v>0</v>
      </c>
      <c r="P21" s="4" t="s">
        <v>39</v>
      </c>
      <c r="Q21" s="5">
        <v>35</v>
      </c>
      <c r="R21" s="6">
        <v>11218.3</v>
      </c>
      <c r="T21" s="4" t="s">
        <v>39</v>
      </c>
      <c r="U21" s="5">
        <v>522</v>
      </c>
      <c r="V21" s="6">
        <v>9817</v>
      </c>
      <c r="Z21" s="7"/>
    </row>
    <row r="22" spans="1:26">
      <c r="A22" s="13" t="s">
        <v>4</v>
      </c>
      <c r="B22" s="11">
        <v>0</v>
      </c>
      <c r="C22" s="11">
        <v>4362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8617</v>
      </c>
      <c r="L22" s="14">
        <v>0</v>
      </c>
      <c r="P22" s="1" t="s">
        <v>45</v>
      </c>
      <c r="Q22" s="2">
        <v>60.3</v>
      </c>
      <c r="R22" s="3">
        <v>4067.5</v>
      </c>
      <c r="T22" s="1" t="s">
        <v>45</v>
      </c>
      <c r="U22" s="2">
        <v>60</v>
      </c>
      <c r="V22" s="3">
        <v>3440</v>
      </c>
      <c r="Z22" s="7"/>
    </row>
    <row r="23" spans="1:26">
      <c r="A23" s="13" t="s">
        <v>5</v>
      </c>
      <c r="B23" s="11">
        <v>1050</v>
      </c>
      <c r="C23" s="11">
        <v>73</v>
      </c>
      <c r="D23" s="11">
        <v>0</v>
      </c>
      <c r="E23" s="11">
        <v>50</v>
      </c>
      <c r="F23" s="11">
        <v>0</v>
      </c>
      <c r="G23" s="11">
        <v>0</v>
      </c>
      <c r="H23" s="11">
        <v>88</v>
      </c>
      <c r="I23" s="11">
        <v>10.3</v>
      </c>
      <c r="J23" s="11">
        <v>2.2999999999999998</v>
      </c>
      <c r="K23" s="11">
        <v>53.1</v>
      </c>
      <c r="L23" s="14">
        <v>137.19999999999999</v>
      </c>
      <c r="P23" s="4" t="s">
        <v>50</v>
      </c>
      <c r="Q23" s="5">
        <v>0</v>
      </c>
      <c r="R23" s="6">
        <v>4969.7</v>
      </c>
      <c r="T23" s="4" t="s">
        <v>50</v>
      </c>
      <c r="U23" s="5" t="s">
        <v>18</v>
      </c>
      <c r="V23" s="6">
        <v>4903</v>
      </c>
      <c r="Z23" s="7"/>
    </row>
    <row r="24" spans="1:26">
      <c r="A24" s="13" t="s">
        <v>6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4">
        <v>0</v>
      </c>
      <c r="P24" s="1" t="s">
        <v>54</v>
      </c>
      <c r="Q24" s="2">
        <v>139</v>
      </c>
      <c r="R24" s="3">
        <v>7974.7</v>
      </c>
      <c r="T24" s="1" t="s">
        <v>54</v>
      </c>
      <c r="U24" s="2">
        <v>483</v>
      </c>
      <c r="V24" s="3">
        <v>7112</v>
      </c>
      <c r="Z24" s="7"/>
    </row>
    <row r="25" spans="1:26">
      <c r="A25" s="13" t="s">
        <v>7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4">
        <v>0</v>
      </c>
      <c r="P25" s="4" t="s">
        <v>61</v>
      </c>
      <c r="Q25" s="5">
        <v>0</v>
      </c>
      <c r="R25" s="6">
        <v>4770</v>
      </c>
      <c r="T25" s="4" t="s">
        <v>61</v>
      </c>
      <c r="U25" s="5" t="s">
        <v>118</v>
      </c>
      <c r="V25" s="5" t="s">
        <v>118</v>
      </c>
      <c r="Z25" s="7"/>
    </row>
    <row r="26" spans="1:26">
      <c r="A26" s="13" t="s">
        <v>8</v>
      </c>
      <c r="B26" s="11">
        <v>0</v>
      </c>
      <c r="C26" s="11">
        <v>697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4">
        <v>0</v>
      </c>
      <c r="P26" s="1" t="s">
        <v>68</v>
      </c>
      <c r="Q26" s="2">
        <v>0</v>
      </c>
      <c r="R26" s="3">
        <v>4639.8999999999996</v>
      </c>
      <c r="T26" s="1" t="s">
        <v>68</v>
      </c>
      <c r="U26" s="5" t="s">
        <v>118</v>
      </c>
      <c r="V26" s="5" t="s">
        <v>118</v>
      </c>
      <c r="Z26" s="7"/>
    </row>
    <row r="27" spans="1:26">
      <c r="A27" s="13" t="s">
        <v>9</v>
      </c>
      <c r="B27" s="11">
        <v>819.2</v>
      </c>
      <c r="C27" s="11">
        <v>9468.4</v>
      </c>
      <c r="D27" s="11">
        <v>376</v>
      </c>
      <c r="E27" s="11">
        <v>1635.8</v>
      </c>
      <c r="F27" s="11">
        <v>1741</v>
      </c>
      <c r="G27" s="11">
        <v>1043</v>
      </c>
      <c r="H27" s="11">
        <v>733</v>
      </c>
      <c r="I27" s="11">
        <v>3547.3</v>
      </c>
      <c r="J27" s="11">
        <v>7284.7</v>
      </c>
      <c r="K27" s="11">
        <v>4304.3999999999996</v>
      </c>
      <c r="L27" s="14">
        <v>1451.4</v>
      </c>
      <c r="P27" s="4" t="s">
        <v>74</v>
      </c>
      <c r="Q27" s="5">
        <v>92</v>
      </c>
      <c r="R27" s="6">
        <v>1363.3</v>
      </c>
      <c r="T27" s="4" t="s">
        <v>74</v>
      </c>
      <c r="U27" s="5" t="s">
        <v>118</v>
      </c>
      <c r="V27" s="5" t="s">
        <v>118</v>
      </c>
      <c r="Z27" s="7"/>
    </row>
    <row r="28" spans="1:26">
      <c r="A28" s="13" t="s">
        <v>10</v>
      </c>
      <c r="B28" s="11">
        <v>1</v>
      </c>
      <c r="C28" s="11">
        <v>9</v>
      </c>
      <c r="D28" s="11">
        <v>5</v>
      </c>
      <c r="E28" s="11">
        <v>8</v>
      </c>
      <c r="F28" s="11">
        <v>6</v>
      </c>
      <c r="G28" s="11">
        <v>6</v>
      </c>
      <c r="H28" s="11">
        <v>3</v>
      </c>
      <c r="I28" s="11">
        <v>4</v>
      </c>
      <c r="J28" s="11">
        <v>5</v>
      </c>
      <c r="K28" s="11">
        <v>13</v>
      </c>
      <c r="L28" s="14">
        <v>4</v>
      </c>
      <c r="P28" s="1" t="s">
        <v>82</v>
      </c>
      <c r="Q28" s="2">
        <v>0</v>
      </c>
      <c r="R28" s="3">
        <v>105.9</v>
      </c>
      <c r="T28" s="1" t="s">
        <v>82</v>
      </c>
      <c r="U28" s="5" t="s">
        <v>118</v>
      </c>
      <c r="V28" s="5" t="s">
        <v>118</v>
      </c>
      <c r="Z28" s="7"/>
    </row>
    <row r="29" spans="1:26">
      <c r="A29" s="13" t="s">
        <v>11</v>
      </c>
      <c r="B29" s="11">
        <v>0</v>
      </c>
      <c r="C29" s="11">
        <v>1470.6</v>
      </c>
      <c r="D29" s="11">
        <v>632.5</v>
      </c>
      <c r="E29" s="11">
        <v>185</v>
      </c>
      <c r="F29" s="11">
        <v>300</v>
      </c>
      <c r="G29" s="11">
        <v>300</v>
      </c>
      <c r="H29" s="11">
        <v>75</v>
      </c>
      <c r="I29" s="11">
        <v>212</v>
      </c>
      <c r="J29" s="11">
        <v>846</v>
      </c>
      <c r="K29" s="11">
        <v>221</v>
      </c>
      <c r="L29" s="14">
        <v>0</v>
      </c>
      <c r="Z29" s="7"/>
    </row>
    <row r="30" spans="1:26">
      <c r="A30" s="13" t="s">
        <v>12</v>
      </c>
      <c r="B30" s="11">
        <v>539</v>
      </c>
      <c r="C30" s="11">
        <v>318</v>
      </c>
      <c r="D30" s="11">
        <v>49.5</v>
      </c>
      <c r="E30" s="11">
        <v>34.1</v>
      </c>
      <c r="F30" s="11">
        <v>35.4</v>
      </c>
      <c r="G30" s="11">
        <v>11</v>
      </c>
      <c r="H30" s="11">
        <v>29.8</v>
      </c>
      <c r="I30" s="11">
        <v>8.1999999999999993</v>
      </c>
      <c r="J30" s="11">
        <v>69</v>
      </c>
      <c r="K30" s="11">
        <v>706.9</v>
      </c>
      <c r="L30" s="14">
        <v>322.8</v>
      </c>
      <c r="Z30" s="7"/>
    </row>
    <row r="31" spans="1:26" ht="15.75" thickBot="1">
      <c r="A31" s="13" t="s">
        <v>13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4">
        <v>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spans="1:26" ht="45">
      <c r="A32" s="16" t="s">
        <v>123</v>
      </c>
      <c r="B32" s="11">
        <f>SUM(B19:B31)</f>
        <v>5024.2</v>
      </c>
      <c r="C32" s="11">
        <f t="shared" ref="C32:L32" si="0">SUM(C19:C31)</f>
        <v>23996.299999999996</v>
      </c>
      <c r="D32" s="11">
        <f t="shared" si="0"/>
        <v>1063</v>
      </c>
      <c r="E32" s="11">
        <f t="shared" si="0"/>
        <v>1912.8999999999999</v>
      </c>
      <c r="F32" s="11">
        <f t="shared" si="0"/>
        <v>2082.4</v>
      </c>
      <c r="G32" s="11">
        <f t="shared" si="0"/>
        <v>1819</v>
      </c>
      <c r="H32" s="11">
        <f t="shared" si="0"/>
        <v>1222.8</v>
      </c>
      <c r="I32" s="11">
        <f t="shared" si="0"/>
        <v>3816.8</v>
      </c>
      <c r="J32" s="11">
        <f t="shared" si="0"/>
        <v>8452</v>
      </c>
      <c r="K32" s="11">
        <f t="shared" si="0"/>
        <v>14629.4</v>
      </c>
      <c r="L32" s="14">
        <f t="shared" si="0"/>
        <v>2082.4</v>
      </c>
    </row>
    <row r="33" spans="1:14" ht="45">
      <c r="A33" s="16" t="s">
        <v>121</v>
      </c>
      <c r="B33" s="11">
        <f>0</f>
        <v>0</v>
      </c>
      <c r="C33" s="11">
        <f>R19+Q19+C32</f>
        <v>25167.299999999996</v>
      </c>
      <c r="D33" s="11">
        <f>R20+Q20+D32</f>
        <v>3103.8</v>
      </c>
      <c r="E33" s="11">
        <f>R21+Q21+E32</f>
        <v>13166.199999999999</v>
      </c>
      <c r="F33" s="11">
        <f>R22+Q22+F32</f>
        <v>6210.2000000000007</v>
      </c>
      <c r="G33" s="11">
        <f>R23+Q23+G32</f>
        <v>6788.7</v>
      </c>
      <c r="H33" s="11">
        <f>R24+Q24+H32</f>
        <v>9336.5</v>
      </c>
      <c r="I33" s="11">
        <f>R25+Q25+I32</f>
        <v>8586.7999999999993</v>
      </c>
      <c r="J33" s="11">
        <f>R26+Q26+J32</f>
        <v>13091.9</v>
      </c>
      <c r="K33" s="11">
        <f>Q27+R27+K32</f>
        <v>16084.699999999999</v>
      </c>
      <c r="L33" s="14">
        <f>R28+Q28+L32</f>
        <v>2188.3000000000002</v>
      </c>
    </row>
    <row r="34" spans="1:14" ht="30">
      <c r="A34" s="17" t="s">
        <v>122</v>
      </c>
      <c r="B34" s="18">
        <f>B32</f>
        <v>5024.2</v>
      </c>
      <c r="C34" s="18">
        <f>C33</f>
        <v>25167.299999999996</v>
      </c>
      <c r="D34" s="25">
        <f>SUM(D33:H33)</f>
        <v>38605.4</v>
      </c>
      <c r="E34" s="25"/>
      <c r="F34" s="25"/>
      <c r="G34" s="25"/>
      <c r="H34" s="25"/>
      <c r="I34" s="25">
        <f>SUM(I33:L33)</f>
        <v>39951.699999999997</v>
      </c>
      <c r="J34" s="25"/>
      <c r="K34" s="25"/>
      <c r="L34" s="25"/>
    </row>
    <row r="36" spans="1:14" ht="15.75" thickBot="1">
      <c r="A36" s="8"/>
    </row>
    <row r="37" spans="1:14">
      <c r="A37" s="22" t="s">
        <v>117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4">
      <c r="A38" s="13" t="s">
        <v>0</v>
      </c>
      <c r="B38" s="11" t="s">
        <v>14</v>
      </c>
      <c r="C38" s="11" t="s">
        <v>23</v>
      </c>
      <c r="D38" s="11" t="s">
        <v>34</v>
      </c>
      <c r="E38" s="11" t="s">
        <v>39</v>
      </c>
      <c r="F38" s="11" t="s">
        <v>45</v>
      </c>
      <c r="G38" s="11" t="s">
        <v>50</v>
      </c>
      <c r="H38" s="11" t="s">
        <v>54</v>
      </c>
      <c r="I38" s="11" t="s">
        <v>61</v>
      </c>
      <c r="J38" s="11" t="s">
        <v>68</v>
      </c>
      <c r="K38" s="11" t="s">
        <v>74</v>
      </c>
      <c r="L38" s="14" t="s">
        <v>82</v>
      </c>
    </row>
    <row r="39" spans="1:14">
      <c r="A39" s="13" t="s">
        <v>1</v>
      </c>
      <c r="B39" s="12">
        <v>577</v>
      </c>
      <c r="C39" s="12">
        <v>2709.6</v>
      </c>
      <c r="D39" s="12">
        <v>0</v>
      </c>
      <c r="E39" s="12">
        <v>0</v>
      </c>
      <c r="F39" s="12">
        <v>0</v>
      </c>
      <c r="G39" s="12">
        <v>459</v>
      </c>
      <c r="H39" s="12">
        <v>294</v>
      </c>
      <c r="I39" s="12">
        <v>0</v>
      </c>
      <c r="J39" s="12">
        <v>0</v>
      </c>
      <c r="K39" s="12">
        <v>50</v>
      </c>
      <c r="L39" s="15">
        <v>0</v>
      </c>
    </row>
    <row r="40" spans="1:14">
      <c r="A40" s="13" t="s">
        <v>2</v>
      </c>
      <c r="B40" s="12">
        <v>1063</v>
      </c>
      <c r="C40" s="12">
        <v>3226.9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35</v>
      </c>
      <c r="J40" s="12">
        <v>245</v>
      </c>
      <c r="K40" s="12">
        <v>664</v>
      </c>
      <c r="L40" s="15">
        <v>167</v>
      </c>
      <c r="N40" t="s">
        <v>120</v>
      </c>
    </row>
    <row r="41" spans="1:14">
      <c r="A41" s="13" t="s">
        <v>3</v>
      </c>
      <c r="B41" s="12">
        <v>1079</v>
      </c>
      <c r="C41" s="12">
        <v>1661.8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5">
        <v>0</v>
      </c>
    </row>
    <row r="42" spans="1:14">
      <c r="A42" s="13" t="s">
        <v>4</v>
      </c>
      <c r="B42" s="12">
        <v>0</v>
      </c>
      <c r="C42" s="12">
        <v>4362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8617</v>
      </c>
      <c r="L42" s="15">
        <v>0</v>
      </c>
    </row>
    <row r="43" spans="1:14">
      <c r="A43" s="13" t="s">
        <v>5</v>
      </c>
      <c r="B43" s="12">
        <v>1028</v>
      </c>
      <c r="C43" s="12">
        <v>73</v>
      </c>
      <c r="D43" s="12">
        <v>0</v>
      </c>
      <c r="E43" s="12">
        <v>50</v>
      </c>
      <c r="F43" s="12">
        <v>0</v>
      </c>
      <c r="G43" s="12">
        <v>0</v>
      </c>
      <c r="H43" s="12">
        <v>88</v>
      </c>
      <c r="I43" s="12">
        <v>10.3</v>
      </c>
      <c r="J43" s="12">
        <v>2.2999999999999998</v>
      </c>
      <c r="K43" s="12">
        <v>53.1</v>
      </c>
      <c r="L43" s="15">
        <v>137.19999999999999</v>
      </c>
    </row>
    <row r="44" spans="1:14">
      <c r="A44" s="13" t="s">
        <v>6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5">
        <v>0</v>
      </c>
    </row>
    <row r="45" spans="1:14">
      <c r="A45" s="13" t="s">
        <v>7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5">
        <v>0</v>
      </c>
    </row>
    <row r="46" spans="1:14">
      <c r="A46" s="13" t="s">
        <v>8</v>
      </c>
      <c r="B46" s="12">
        <v>764</v>
      </c>
      <c r="C46" s="12">
        <v>697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5">
        <v>0</v>
      </c>
    </row>
    <row r="47" spans="1:14">
      <c r="A47" s="13" t="s">
        <v>9</v>
      </c>
      <c r="B47" s="12">
        <v>756</v>
      </c>
      <c r="C47" s="12">
        <v>9468.4</v>
      </c>
      <c r="D47" s="12">
        <v>376</v>
      </c>
      <c r="E47" s="12">
        <v>1635.8</v>
      </c>
      <c r="F47" s="12">
        <v>1741</v>
      </c>
      <c r="G47" s="12">
        <v>1043</v>
      </c>
      <c r="H47" s="12">
        <v>733</v>
      </c>
      <c r="I47" s="12">
        <v>3547.3</v>
      </c>
      <c r="J47" s="12">
        <v>7284.7</v>
      </c>
      <c r="K47" s="12">
        <v>4304.3999999999996</v>
      </c>
      <c r="L47" s="15">
        <v>1451.4</v>
      </c>
    </row>
    <row r="48" spans="1:14">
      <c r="A48" s="13" t="s">
        <v>10</v>
      </c>
      <c r="B48" s="12">
        <v>1</v>
      </c>
      <c r="C48" s="12">
        <v>9</v>
      </c>
      <c r="D48" s="12">
        <v>5</v>
      </c>
      <c r="E48" s="12">
        <v>8</v>
      </c>
      <c r="F48" s="12">
        <v>6</v>
      </c>
      <c r="G48" s="12">
        <v>6</v>
      </c>
      <c r="H48" s="12">
        <v>3</v>
      </c>
      <c r="I48" s="12">
        <v>4</v>
      </c>
      <c r="J48" s="12">
        <v>5</v>
      </c>
      <c r="K48" s="12">
        <v>13</v>
      </c>
      <c r="L48" s="15">
        <v>4</v>
      </c>
    </row>
    <row r="49" spans="1:13">
      <c r="A49" s="13" t="s">
        <v>11</v>
      </c>
      <c r="B49" s="12">
        <v>0</v>
      </c>
      <c r="C49" s="12">
        <v>1470.6</v>
      </c>
      <c r="D49" s="12">
        <v>632.5</v>
      </c>
      <c r="E49" s="12">
        <v>185</v>
      </c>
      <c r="F49" s="12">
        <v>300</v>
      </c>
      <c r="G49" s="12">
        <v>300</v>
      </c>
      <c r="H49" s="12">
        <v>75</v>
      </c>
      <c r="I49" s="12">
        <v>212</v>
      </c>
      <c r="J49" s="12">
        <v>846</v>
      </c>
      <c r="K49" s="12">
        <v>221</v>
      </c>
      <c r="L49" s="15">
        <v>0</v>
      </c>
    </row>
    <row r="50" spans="1:13">
      <c r="A50" s="13" t="s">
        <v>12</v>
      </c>
      <c r="B50" s="12">
        <v>620</v>
      </c>
      <c r="C50" s="12">
        <v>318</v>
      </c>
      <c r="D50" s="12">
        <v>49.5</v>
      </c>
      <c r="E50" s="12">
        <v>34.1</v>
      </c>
      <c r="F50" s="12">
        <v>35.4</v>
      </c>
      <c r="G50" s="12">
        <v>11</v>
      </c>
      <c r="H50" s="12">
        <v>29.8</v>
      </c>
      <c r="I50" s="12">
        <v>8.1999999999999993</v>
      </c>
      <c r="J50" s="12">
        <v>69</v>
      </c>
      <c r="K50" s="12">
        <v>706.9</v>
      </c>
      <c r="L50" s="15">
        <v>322.8</v>
      </c>
    </row>
    <row r="51" spans="1:13">
      <c r="A51" s="13" t="s">
        <v>13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5">
        <v>0</v>
      </c>
    </row>
    <row r="52" spans="1:13" ht="30">
      <c r="A52" s="16" t="s">
        <v>119</v>
      </c>
      <c r="B52" s="11">
        <v>6085</v>
      </c>
      <c r="C52" s="11">
        <v>19314</v>
      </c>
      <c r="D52" s="11">
        <v>4379</v>
      </c>
      <c r="E52" s="11">
        <v>13199</v>
      </c>
      <c r="F52" s="11">
        <v>7091</v>
      </c>
      <c r="G52" s="11">
        <v>6976</v>
      </c>
      <c r="H52" s="11">
        <v>8633</v>
      </c>
      <c r="I52" s="11"/>
      <c r="J52" s="11"/>
      <c r="K52" s="11"/>
      <c r="L52" s="14"/>
    </row>
    <row r="53" spans="1:13" ht="30">
      <c r="A53" s="17" t="s">
        <v>122</v>
      </c>
      <c r="B53" s="18">
        <f>B52</f>
        <v>6085</v>
      </c>
      <c r="C53" s="18">
        <f>C52</f>
        <v>19314</v>
      </c>
      <c r="D53" s="25">
        <f>SUM(D52:H52)</f>
        <v>40278</v>
      </c>
      <c r="E53" s="25"/>
      <c r="F53" s="25"/>
      <c r="G53" s="25"/>
      <c r="H53" s="25"/>
      <c r="I53" s="25">
        <v>46900</v>
      </c>
      <c r="J53" s="25"/>
      <c r="K53" s="25"/>
      <c r="L53" s="25"/>
    </row>
    <row r="56" spans="1:13" ht="45">
      <c r="A56" s="19" t="s">
        <v>124</v>
      </c>
      <c r="B56">
        <f>B53-B34</f>
        <v>1060.8000000000002</v>
      </c>
      <c r="C56">
        <f t="shared" ref="C56:I56" si="1">C53-C34</f>
        <v>-5853.2999999999956</v>
      </c>
      <c r="D56" s="21">
        <f>D53-D34</f>
        <v>1672.5999999999985</v>
      </c>
      <c r="E56" s="21"/>
      <c r="F56" s="21"/>
      <c r="G56" s="21"/>
      <c r="H56" s="21"/>
      <c r="I56" s="21">
        <f t="shared" si="1"/>
        <v>6948.3000000000029</v>
      </c>
      <c r="J56" s="21"/>
      <c r="K56" s="21"/>
      <c r="L56" s="21"/>
    </row>
    <row r="57" spans="1:13">
      <c r="A57" t="s">
        <v>125</v>
      </c>
      <c r="B57" s="21">
        <f>SUM(B56:L56)</f>
        <v>3828.400000000006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t="s">
        <v>126</v>
      </c>
    </row>
    <row r="58" spans="1:13" ht="15.75" thickBot="1"/>
    <row r="59" spans="1:13" ht="15.75" thickBot="1">
      <c r="A59" s="28" t="s">
        <v>151</v>
      </c>
      <c r="B59" s="29"/>
      <c r="C59" s="29"/>
      <c r="D59" s="29"/>
      <c r="E59" s="29"/>
      <c r="F59" s="30"/>
      <c r="G59" s="27"/>
      <c r="H59" s="27"/>
      <c r="I59" s="27"/>
      <c r="J59" s="27"/>
      <c r="K59" s="27"/>
      <c r="L59" s="27"/>
    </row>
    <row r="60" spans="1:13" ht="15.75" thickBot="1">
      <c r="A60" s="31" t="s">
        <v>150</v>
      </c>
      <c r="B60" s="32" t="s">
        <v>34</v>
      </c>
      <c r="C60" s="32" t="s">
        <v>39</v>
      </c>
      <c r="D60" s="32" t="s">
        <v>45</v>
      </c>
      <c r="E60" s="32" t="s">
        <v>50</v>
      </c>
      <c r="F60" s="7" t="s">
        <v>54</v>
      </c>
      <c r="I60" s="26"/>
    </row>
    <row r="61" spans="1:13" ht="15.75" thickBot="1">
      <c r="A61" s="33" t="s">
        <v>127</v>
      </c>
      <c r="B61" s="11">
        <f>1429</f>
        <v>1429</v>
      </c>
      <c r="C61" s="11">
        <v>9817</v>
      </c>
      <c r="D61" s="11">
        <v>3440</v>
      </c>
      <c r="E61" s="11">
        <v>4903</v>
      </c>
      <c r="F61" s="14">
        <v>7112</v>
      </c>
      <c r="G61" s="26"/>
      <c r="I61" s="26"/>
    </row>
    <row r="62" spans="1:13" ht="15.75" thickBot="1">
      <c r="A62" s="33" t="s">
        <v>128</v>
      </c>
      <c r="B62" s="11" t="s">
        <v>129</v>
      </c>
      <c r="C62" s="11" t="s">
        <v>129</v>
      </c>
      <c r="D62" s="11" t="s">
        <v>129</v>
      </c>
      <c r="E62" s="11" t="s">
        <v>129</v>
      </c>
      <c r="F62" s="14" t="s">
        <v>129</v>
      </c>
      <c r="G62" s="26"/>
      <c r="H62" s="38" t="s">
        <v>157</v>
      </c>
      <c r="I62" s="26" t="s">
        <v>152</v>
      </c>
    </row>
    <row r="63" spans="1:13" ht="15.75" thickBot="1">
      <c r="A63" s="33" t="s">
        <v>130</v>
      </c>
      <c r="B63" s="11" t="s">
        <v>129</v>
      </c>
      <c r="C63" s="11" t="s">
        <v>129</v>
      </c>
      <c r="D63" s="11">
        <v>31</v>
      </c>
      <c r="E63" s="11" t="s">
        <v>129</v>
      </c>
      <c r="F63" s="14" t="s">
        <v>129</v>
      </c>
      <c r="G63" s="26"/>
      <c r="I63" s="26" t="s">
        <v>153</v>
      </c>
    </row>
    <row r="64" spans="1:13" ht="15.75" thickBot="1">
      <c r="A64" s="33" t="s">
        <v>131</v>
      </c>
      <c r="B64" s="11" t="s">
        <v>129</v>
      </c>
      <c r="C64" s="11" t="s">
        <v>129</v>
      </c>
      <c r="D64" s="11">
        <v>22</v>
      </c>
      <c r="E64" s="11">
        <v>77</v>
      </c>
      <c r="F64" s="14" t="s">
        <v>129</v>
      </c>
      <c r="G64" s="26"/>
      <c r="I64" s="26" t="s">
        <v>154</v>
      </c>
    </row>
    <row r="65" spans="1:10" ht="15.75" thickBot="1">
      <c r="A65" s="33" t="s">
        <v>132</v>
      </c>
      <c r="B65" s="11">
        <v>6</v>
      </c>
      <c r="C65" s="11">
        <v>9</v>
      </c>
      <c r="D65" s="11" t="s">
        <v>129</v>
      </c>
      <c r="E65" s="11">
        <v>252</v>
      </c>
      <c r="F65" s="14">
        <v>192</v>
      </c>
      <c r="G65" s="26"/>
      <c r="I65" s="26" t="s">
        <v>155</v>
      </c>
    </row>
    <row r="66" spans="1:10" ht="15.75" thickBot="1">
      <c r="A66" s="33" t="s">
        <v>133</v>
      </c>
      <c r="B66" s="11" t="s">
        <v>129</v>
      </c>
      <c r="C66" s="11" t="s">
        <v>129</v>
      </c>
      <c r="D66" s="11" t="s">
        <v>129</v>
      </c>
      <c r="E66" s="11" t="s">
        <v>129</v>
      </c>
      <c r="F66" s="14" t="s">
        <v>129</v>
      </c>
      <c r="G66" s="26"/>
      <c r="I66" s="26" t="s">
        <v>156</v>
      </c>
    </row>
    <row r="67" spans="1:10" ht="15.75" thickBot="1">
      <c r="A67" s="33" t="s">
        <v>134</v>
      </c>
      <c r="B67" s="11" t="s">
        <v>129</v>
      </c>
      <c r="C67" s="11" t="s">
        <v>129</v>
      </c>
      <c r="D67" s="11" t="s">
        <v>129</v>
      </c>
      <c r="E67" s="11" t="s">
        <v>129</v>
      </c>
      <c r="F67" s="14" t="s">
        <v>129</v>
      </c>
      <c r="G67" s="26"/>
      <c r="I67" s="26" t="s">
        <v>158</v>
      </c>
    </row>
    <row r="68" spans="1:10" ht="15.75" thickBot="1">
      <c r="A68" s="33" t="s">
        <v>135</v>
      </c>
      <c r="B68" s="11" t="s">
        <v>129</v>
      </c>
      <c r="C68" s="11" t="s">
        <v>129</v>
      </c>
      <c r="D68" s="11" t="s">
        <v>129</v>
      </c>
      <c r="E68" s="11" t="s">
        <v>129</v>
      </c>
      <c r="F68" s="14" t="s">
        <v>129</v>
      </c>
      <c r="G68" s="26"/>
      <c r="I68" s="26"/>
    </row>
    <row r="69" spans="1:10" ht="15.75" thickBot="1">
      <c r="A69" s="33" t="s">
        <v>136</v>
      </c>
      <c r="B69" s="11" t="s">
        <v>129</v>
      </c>
      <c r="C69" s="11" t="s">
        <v>129</v>
      </c>
      <c r="D69" s="11" t="s">
        <v>129</v>
      </c>
      <c r="E69" s="11" t="s">
        <v>129</v>
      </c>
      <c r="F69" s="14" t="s">
        <v>129</v>
      </c>
      <c r="G69" s="26"/>
      <c r="I69" s="26"/>
    </row>
    <row r="70" spans="1:10" ht="15.75" thickBot="1">
      <c r="A70" s="33" t="s">
        <v>137</v>
      </c>
      <c r="B70" s="11" t="s">
        <v>129</v>
      </c>
      <c r="C70" s="11" t="s">
        <v>129</v>
      </c>
      <c r="D70" s="11" t="s">
        <v>129</v>
      </c>
      <c r="E70" s="11" t="s">
        <v>129</v>
      </c>
      <c r="F70" s="14" t="s">
        <v>129</v>
      </c>
      <c r="G70" s="26"/>
      <c r="I70" s="26"/>
    </row>
    <row r="71" spans="1:10" ht="15.75" thickBot="1">
      <c r="A71" s="33" t="s">
        <v>138</v>
      </c>
      <c r="B71" s="11" t="s">
        <v>129</v>
      </c>
      <c r="C71" s="11">
        <v>522</v>
      </c>
      <c r="D71" s="11">
        <v>60</v>
      </c>
      <c r="E71" s="11" t="s">
        <v>129</v>
      </c>
      <c r="F71" s="14">
        <v>483</v>
      </c>
      <c r="G71" s="26"/>
      <c r="I71" s="26"/>
    </row>
    <row r="72" spans="1:10" ht="15.75" thickBot="1">
      <c r="A72" s="33" t="s">
        <v>139</v>
      </c>
      <c r="B72" s="11" t="s">
        <v>129</v>
      </c>
      <c r="C72" s="11" t="s">
        <v>129</v>
      </c>
      <c r="D72" s="11" t="s">
        <v>129</v>
      </c>
      <c r="E72" s="11" t="s">
        <v>129</v>
      </c>
      <c r="F72" s="14" t="s">
        <v>129</v>
      </c>
      <c r="G72" s="26"/>
      <c r="I72" s="26"/>
    </row>
    <row r="73" spans="1:10" ht="15.75" thickBot="1">
      <c r="A73" s="33" t="s">
        <v>140</v>
      </c>
      <c r="B73" s="11" t="s">
        <v>129</v>
      </c>
      <c r="C73" s="11" t="s">
        <v>129</v>
      </c>
      <c r="D73" s="11" t="s">
        <v>129</v>
      </c>
      <c r="E73" s="11" t="s">
        <v>129</v>
      </c>
      <c r="F73" s="14" t="s">
        <v>129</v>
      </c>
      <c r="G73" s="26"/>
      <c r="I73" s="26"/>
    </row>
    <row r="74" spans="1:10" ht="15.75" thickBot="1">
      <c r="A74" s="33" t="s">
        <v>141</v>
      </c>
      <c r="B74" s="11">
        <v>406</v>
      </c>
      <c r="C74" s="11">
        <v>1444</v>
      </c>
      <c r="D74" s="11">
        <v>2120</v>
      </c>
      <c r="E74" s="11">
        <v>1160</v>
      </c>
      <c r="F74" s="14" t="s">
        <v>129</v>
      </c>
      <c r="G74" s="26"/>
      <c r="I74" s="26"/>
    </row>
    <row r="75" spans="1:10" ht="15.75" thickBot="1">
      <c r="A75" s="33" t="s">
        <v>142</v>
      </c>
      <c r="B75" s="11" t="s">
        <v>129</v>
      </c>
      <c r="C75" s="11" t="s">
        <v>129</v>
      </c>
      <c r="D75" s="11" t="s">
        <v>129</v>
      </c>
      <c r="E75" s="11" t="s">
        <v>129</v>
      </c>
      <c r="F75" s="14" t="s">
        <v>129</v>
      </c>
      <c r="G75" s="26"/>
      <c r="I75" s="26"/>
      <c r="J75" s="37" t="s">
        <v>159</v>
      </c>
    </row>
    <row r="76" spans="1:10" ht="15.75" thickBot="1">
      <c r="A76" s="33" t="s">
        <v>143</v>
      </c>
      <c r="B76" s="11" t="s">
        <v>129</v>
      </c>
      <c r="C76" s="11" t="s">
        <v>129</v>
      </c>
      <c r="D76" s="11" t="s">
        <v>129</v>
      </c>
      <c r="E76" s="11" t="s">
        <v>129</v>
      </c>
      <c r="F76" s="14" t="s">
        <v>129</v>
      </c>
      <c r="G76" s="26"/>
      <c r="I76" s="26"/>
      <c r="J76" s="37" t="s">
        <v>160</v>
      </c>
    </row>
    <row r="77" spans="1:10" ht="15.75" thickBot="1">
      <c r="A77" s="33" t="s">
        <v>144</v>
      </c>
      <c r="B77" s="11" t="s">
        <v>129</v>
      </c>
      <c r="C77" s="11" t="s">
        <v>129</v>
      </c>
      <c r="D77" s="11" t="s">
        <v>129</v>
      </c>
      <c r="E77" s="11" t="s">
        <v>129</v>
      </c>
      <c r="F77" s="14" t="s">
        <v>129</v>
      </c>
      <c r="G77" s="26"/>
      <c r="I77" s="26"/>
      <c r="J77" s="37" t="s">
        <v>161</v>
      </c>
    </row>
    <row r="78" spans="1:10" ht="15.75" thickBot="1">
      <c r="A78" s="33" t="s">
        <v>145</v>
      </c>
      <c r="B78" s="11">
        <v>32</v>
      </c>
      <c r="C78" s="11">
        <v>22</v>
      </c>
      <c r="D78" s="11">
        <v>4</v>
      </c>
      <c r="E78" s="11" t="s">
        <v>129</v>
      </c>
      <c r="F78" s="14">
        <v>32</v>
      </c>
      <c r="G78" s="26"/>
      <c r="I78" s="26"/>
      <c r="J78" s="37" t="s">
        <v>162</v>
      </c>
    </row>
    <row r="79" spans="1:10" ht="15.75" thickBot="1">
      <c r="A79" s="33" t="s">
        <v>146</v>
      </c>
      <c r="B79" s="11">
        <v>2</v>
      </c>
      <c r="C79" s="11" t="s">
        <v>129</v>
      </c>
      <c r="D79" s="11" t="s">
        <v>129</v>
      </c>
      <c r="E79" s="11" t="s">
        <v>129</v>
      </c>
      <c r="F79" s="14" t="s">
        <v>129</v>
      </c>
      <c r="G79" s="26"/>
      <c r="I79" s="26"/>
      <c r="J79" s="37" t="s">
        <v>163</v>
      </c>
    </row>
    <row r="80" spans="1:10" ht="15.75" thickBot="1">
      <c r="A80" s="33" t="s">
        <v>147</v>
      </c>
      <c r="B80" s="11" t="s">
        <v>129</v>
      </c>
      <c r="C80" s="11" t="s">
        <v>129</v>
      </c>
      <c r="D80" s="11" t="s">
        <v>129</v>
      </c>
      <c r="E80" s="11" t="s">
        <v>129</v>
      </c>
      <c r="F80" s="14" t="s">
        <v>129</v>
      </c>
      <c r="G80" s="26"/>
      <c r="I80" s="26"/>
      <c r="J80" s="37" t="s">
        <v>164</v>
      </c>
    </row>
    <row r="81" spans="1:10" ht="15.75" thickBot="1">
      <c r="A81" s="33" t="s">
        <v>148</v>
      </c>
      <c r="B81" s="11">
        <v>2504</v>
      </c>
      <c r="C81" s="11">
        <v>1385</v>
      </c>
      <c r="D81" s="11">
        <v>1414</v>
      </c>
      <c r="E81" s="11">
        <v>584</v>
      </c>
      <c r="F81" s="14">
        <v>814</v>
      </c>
      <c r="G81" s="26"/>
      <c r="I81" s="26"/>
      <c r="J81" s="37" t="s">
        <v>165</v>
      </c>
    </row>
    <row r="82" spans="1:10" ht="15.75" thickBot="1">
      <c r="A82" s="34" t="s">
        <v>149</v>
      </c>
      <c r="B82" s="35">
        <v>4379</v>
      </c>
      <c r="C82" s="35">
        <v>13199</v>
      </c>
      <c r="D82" s="35">
        <v>7091</v>
      </c>
      <c r="E82" s="35">
        <v>6976</v>
      </c>
      <c r="F82" s="36">
        <v>8633</v>
      </c>
      <c r="G82" s="26"/>
      <c r="J82" s="37" t="s">
        <v>166</v>
      </c>
    </row>
    <row r="83" spans="1:10">
      <c r="J83" s="37" t="s">
        <v>167</v>
      </c>
    </row>
    <row r="84" spans="1:10">
      <c r="J84" s="37" t="s">
        <v>168</v>
      </c>
    </row>
    <row r="85" spans="1:10">
      <c r="J85" s="37" t="s">
        <v>169</v>
      </c>
    </row>
    <row r="86" spans="1:10" ht="15.75" thickBot="1">
      <c r="J86" s="37" t="s">
        <v>170</v>
      </c>
    </row>
    <row r="87" spans="1:10">
      <c r="A87" s="28" t="s">
        <v>151</v>
      </c>
      <c r="B87" s="29"/>
      <c r="C87" s="29"/>
      <c r="D87" s="29"/>
      <c r="E87" s="29"/>
      <c r="F87" s="30"/>
      <c r="J87" s="37" t="s">
        <v>171</v>
      </c>
    </row>
    <row r="88" spans="1:10" ht="15.75" thickBot="1">
      <c r="A88" s="31" t="s">
        <v>150</v>
      </c>
      <c r="B88" s="32" t="s">
        <v>34</v>
      </c>
      <c r="C88" s="32" t="s">
        <v>39</v>
      </c>
      <c r="D88" s="32" t="s">
        <v>45</v>
      </c>
      <c r="E88" s="32" t="s">
        <v>50</v>
      </c>
      <c r="F88" s="7" t="s">
        <v>54</v>
      </c>
      <c r="J88" s="37" t="s">
        <v>172</v>
      </c>
    </row>
    <row r="89" spans="1:10" ht="15.75" thickBot="1">
      <c r="A89" s="33" t="s">
        <v>127</v>
      </c>
      <c r="B89" s="11">
        <f>1429</f>
        <v>1429</v>
      </c>
      <c r="C89" s="11">
        <v>9817</v>
      </c>
      <c r="D89" s="11">
        <v>3440</v>
      </c>
      <c r="E89" s="11">
        <v>4903</v>
      </c>
      <c r="F89" s="14">
        <v>7112</v>
      </c>
      <c r="J89" s="37" t="s">
        <v>173</v>
      </c>
    </row>
    <row r="90" spans="1:10" ht="15.75" thickBot="1">
      <c r="A90" s="33" t="s">
        <v>128</v>
      </c>
      <c r="B90" s="11">
        <v>0</v>
      </c>
      <c r="C90" s="11">
        <v>0</v>
      </c>
      <c r="D90" s="11">
        <v>0</v>
      </c>
      <c r="E90" s="11">
        <v>0</v>
      </c>
      <c r="F90" s="14">
        <v>0</v>
      </c>
      <c r="J90" s="37" t="s">
        <v>174</v>
      </c>
    </row>
    <row r="91" spans="1:10" ht="15.75" thickBot="1">
      <c r="A91" s="33" t="s">
        <v>130</v>
      </c>
      <c r="B91" s="11">
        <v>0</v>
      </c>
      <c r="C91" s="11">
        <v>0</v>
      </c>
      <c r="D91" s="11">
        <v>31</v>
      </c>
      <c r="E91" s="11">
        <v>0</v>
      </c>
      <c r="F91" s="14">
        <v>0</v>
      </c>
      <c r="J91" s="37" t="s">
        <v>175</v>
      </c>
    </row>
    <row r="92" spans="1:10" ht="15.75" thickBot="1">
      <c r="A92" s="33" t="s">
        <v>130</v>
      </c>
      <c r="B92" s="11">
        <v>0</v>
      </c>
      <c r="C92" s="11">
        <v>0</v>
      </c>
      <c r="D92" s="11">
        <v>22</v>
      </c>
      <c r="E92" s="11">
        <v>77</v>
      </c>
      <c r="F92" s="14">
        <v>0</v>
      </c>
      <c r="J92" s="37" t="s">
        <v>176</v>
      </c>
    </row>
    <row r="93" spans="1:10" ht="15.75" thickBot="1">
      <c r="A93" s="33" t="s">
        <v>1</v>
      </c>
      <c r="B93" s="11">
        <v>6</v>
      </c>
      <c r="C93" s="11">
        <v>9</v>
      </c>
      <c r="D93" s="11">
        <v>0</v>
      </c>
      <c r="E93" s="11">
        <v>252</v>
      </c>
      <c r="F93" s="14">
        <v>192</v>
      </c>
    </row>
    <row r="94" spans="1:10" ht="15.75" thickBot="1">
      <c r="A94" s="33" t="s">
        <v>133</v>
      </c>
      <c r="B94" s="11">
        <v>0</v>
      </c>
      <c r="C94" s="11">
        <v>0</v>
      </c>
      <c r="D94" s="11">
        <v>0</v>
      </c>
      <c r="E94" s="11">
        <v>0</v>
      </c>
      <c r="F94" s="14">
        <v>0</v>
      </c>
    </row>
    <row r="95" spans="1:10" ht="15.75" thickBot="1">
      <c r="A95" s="33" t="s">
        <v>134</v>
      </c>
      <c r="B95" s="11">
        <v>0</v>
      </c>
      <c r="C95" s="11">
        <v>0</v>
      </c>
      <c r="D95" s="11">
        <v>0</v>
      </c>
      <c r="E95" s="11">
        <v>0</v>
      </c>
      <c r="F95" s="14">
        <v>0</v>
      </c>
    </row>
    <row r="96" spans="1:10" ht="15.75" thickBot="1">
      <c r="A96" s="33" t="s">
        <v>130</v>
      </c>
      <c r="B96" s="11">
        <v>0</v>
      </c>
      <c r="C96" s="11">
        <v>0</v>
      </c>
      <c r="D96" s="11">
        <v>0</v>
      </c>
      <c r="E96" s="11">
        <v>0</v>
      </c>
      <c r="F96" s="14">
        <v>0</v>
      </c>
    </row>
    <row r="97" spans="1:6" ht="15.75" thickBot="1">
      <c r="A97" s="33" t="s">
        <v>136</v>
      </c>
      <c r="B97" s="11">
        <v>0</v>
      </c>
      <c r="C97" s="11">
        <v>0</v>
      </c>
      <c r="D97" s="11">
        <v>0</v>
      </c>
      <c r="E97" s="11">
        <v>0</v>
      </c>
      <c r="F97" s="14">
        <v>0</v>
      </c>
    </row>
    <row r="98" spans="1:6" ht="15.75" thickBot="1">
      <c r="A98" s="33" t="s">
        <v>137</v>
      </c>
      <c r="B98" s="11">
        <v>0</v>
      </c>
      <c r="C98" s="11">
        <v>0</v>
      </c>
      <c r="D98" s="11">
        <v>0</v>
      </c>
      <c r="E98" s="11">
        <v>0</v>
      </c>
      <c r="F98" s="14">
        <v>0</v>
      </c>
    </row>
    <row r="99" spans="1:6" ht="15.75" thickBot="1">
      <c r="A99" s="33" t="s">
        <v>138</v>
      </c>
      <c r="B99" s="11">
        <v>0</v>
      </c>
      <c r="C99" s="11">
        <v>522</v>
      </c>
      <c r="D99" s="11">
        <v>60</v>
      </c>
      <c r="E99" s="11">
        <v>0</v>
      </c>
      <c r="F99" s="14">
        <v>483</v>
      </c>
    </row>
    <row r="100" spans="1:6" ht="15.75" thickBot="1">
      <c r="A100" s="33" t="s">
        <v>139</v>
      </c>
      <c r="B100" s="11">
        <v>0</v>
      </c>
      <c r="C100" s="11">
        <v>0</v>
      </c>
      <c r="D100" s="11">
        <v>0</v>
      </c>
      <c r="E100" s="11">
        <v>0</v>
      </c>
      <c r="F100" s="14">
        <v>0</v>
      </c>
    </row>
    <row r="101" spans="1:6" ht="15.75" thickBot="1">
      <c r="A101" s="33" t="s">
        <v>130</v>
      </c>
      <c r="B101" s="11">
        <v>0</v>
      </c>
      <c r="C101" s="11">
        <v>0</v>
      </c>
      <c r="D101" s="11">
        <v>0</v>
      </c>
      <c r="E101" s="11">
        <v>0</v>
      </c>
      <c r="F101" s="14">
        <v>0</v>
      </c>
    </row>
    <row r="102" spans="1:6" ht="15.75" thickBot="1">
      <c r="A102" s="33" t="s">
        <v>141</v>
      </c>
      <c r="B102" s="11">
        <v>406</v>
      </c>
      <c r="C102" s="11">
        <v>1444</v>
      </c>
      <c r="D102" s="11">
        <v>2120</v>
      </c>
      <c r="E102" s="11">
        <v>1160</v>
      </c>
      <c r="F102" s="14">
        <v>0</v>
      </c>
    </row>
    <row r="103" spans="1:6" ht="15.75" thickBot="1">
      <c r="A103" s="33" t="s">
        <v>142</v>
      </c>
      <c r="B103" s="11">
        <v>0</v>
      </c>
      <c r="C103" s="11">
        <v>0</v>
      </c>
      <c r="D103" s="11">
        <v>0</v>
      </c>
      <c r="E103" s="11">
        <v>0</v>
      </c>
      <c r="F103" s="14">
        <v>0</v>
      </c>
    </row>
    <row r="104" spans="1:6" ht="15.75" thickBot="1">
      <c r="A104" s="33" t="s">
        <v>143</v>
      </c>
      <c r="B104" s="11">
        <v>0</v>
      </c>
      <c r="C104" s="11">
        <v>0</v>
      </c>
      <c r="D104" s="11">
        <v>0</v>
      </c>
      <c r="E104" s="11">
        <v>0</v>
      </c>
      <c r="F104" s="14">
        <v>0</v>
      </c>
    </row>
    <row r="105" spans="1:6" ht="15.75" thickBot="1">
      <c r="A105" s="33" t="s">
        <v>144</v>
      </c>
      <c r="B105" s="11">
        <v>0</v>
      </c>
      <c r="C105" s="11">
        <v>0</v>
      </c>
      <c r="D105" s="11">
        <v>0</v>
      </c>
      <c r="E105" s="11">
        <v>0</v>
      </c>
      <c r="F105" s="14">
        <v>0</v>
      </c>
    </row>
    <row r="106" spans="1:6" ht="15.75" thickBot="1">
      <c r="A106" s="33" t="s">
        <v>130</v>
      </c>
      <c r="B106" s="11">
        <v>32</v>
      </c>
      <c r="C106" s="11">
        <v>22</v>
      </c>
      <c r="D106" s="11">
        <v>4</v>
      </c>
      <c r="E106" s="11">
        <v>0</v>
      </c>
      <c r="F106" s="14">
        <v>32</v>
      </c>
    </row>
    <row r="107" spans="1:6" ht="15.75" thickBot="1">
      <c r="A107" s="33" t="s">
        <v>146</v>
      </c>
      <c r="B107" s="11">
        <v>2</v>
      </c>
      <c r="C107" s="11">
        <v>0</v>
      </c>
      <c r="D107" s="11">
        <v>0</v>
      </c>
      <c r="E107" s="11">
        <v>0</v>
      </c>
      <c r="F107" s="14">
        <v>0</v>
      </c>
    </row>
    <row r="108" spans="1:6" ht="15.75" thickBot="1">
      <c r="A108" s="33" t="s">
        <v>147</v>
      </c>
      <c r="B108" s="11">
        <v>0</v>
      </c>
      <c r="C108" s="11">
        <v>0</v>
      </c>
      <c r="D108" s="11">
        <v>0</v>
      </c>
      <c r="E108" s="11">
        <v>0</v>
      </c>
      <c r="F108" s="14">
        <v>0</v>
      </c>
    </row>
    <row r="109" spans="1:6" ht="15.75" thickBot="1">
      <c r="A109" s="33" t="s">
        <v>148</v>
      </c>
      <c r="B109" s="11">
        <v>2504</v>
      </c>
      <c r="C109" s="11">
        <v>1385</v>
      </c>
      <c r="D109" s="11">
        <v>1414</v>
      </c>
      <c r="E109" s="11">
        <v>584</v>
      </c>
      <c r="F109" s="14">
        <v>814</v>
      </c>
    </row>
    <row r="110" spans="1:6" ht="15.75" thickBot="1">
      <c r="A110" s="34" t="s">
        <v>149</v>
      </c>
      <c r="B110" s="35">
        <v>4379</v>
      </c>
      <c r="C110" s="35">
        <v>13199</v>
      </c>
      <c r="D110" s="35">
        <v>7091</v>
      </c>
      <c r="E110" s="35">
        <v>6976</v>
      </c>
      <c r="F110" s="36">
        <v>8633</v>
      </c>
    </row>
    <row r="116" spans="1:6" ht="15.75" thickBot="1"/>
    <row r="117" spans="1:6">
      <c r="A117" s="41" t="s">
        <v>179</v>
      </c>
      <c r="B117" s="42"/>
      <c r="C117" s="42"/>
      <c r="D117" s="42"/>
      <c r="E117" s="42"/>
      <c r="F117" s="43"/>
    </row>
    <row r="118" spans="1:6">
      <c r="A118" s="13" t="s">
        <v>0</v>
      </c>
      <c r="B118" s="11" t="s">
        <v>34</v>
      </c>
      <c r="C118" s="11" t="s">
        <v>39</v>
      </c>
      <c r="D118" s="11" t="s">
        <v>45</v>
      </c>
      <c r="E118" s="11" t="s">
        <v>50</v>
      </c>
      <c r="F118" s="14" t="s">
        <v>54</v>
      </c>
    </row>
    <row r="119" spans="1:6">
      <c r="A119" s="13" t="s">
        <v>1</v>
      </c>
      <c r="B119" s="12">
        <f>B93-D39</f>
        <v>6</v>
      </c>
      <c r="C119" s="12">
        <f>C93-E39</f>
        <v>9</v>
      </c>
      <c r="D119" s="12">
        <f>D93-F39</f>
        <v>0</v>
      </c>
      <c r="E119" s="12">
        <f>E93-G39</f>
        <v>-207</v>
      </c>
      <c r="F119" s="15">
        <f>F93-H39</f>
        <v>-102</v>
      </c>
    </row>
    <row r="120" spans="1:6">
      <c r="A120" s="13" t="s">
        <v>2</v>
      </c>
      <c r="B120" s="12">
        <f>B107-D40</f>
        <v>2</v>
      </c>
      <c r="C120" s="12">
        <f t="shared" ref="C120:F120" si="2">C107-E40</f>
        <v>0</v>
      </c>
      <c r="D120" s="12">
        <f t="shared" si="2"/>
        <v>0</v>
      </c>
      <c r="E120" s="12">
        <f t="shared" si="2"/>
        <v>0</v>
      </c>
      <c r="F120" s="15">
        <f t="shared" si="2"/>
        <v>0</v>
      </c>
    </row>
    <row r="121" spans="1:6">
      <c r="A121" s="13" t="s">
        <v>3</v>
      </c>
      <c r="B121" s="12">
        <f>B100-D21</f>
        <v>0</v>
      </c>
      <c r="C121" s="12">
        <f t="shared" ref="C121:F121" si="3">C100-E21</f>
        <v>0</v>
      </c>
      <c r="D121" s="12">
        <f t="shared" si="3"/>
        <v>0</v>
      </c>
      <c r="E121" s="12">
        <f t="shared" si="3"/>
        <v>0</v>
      </c>
      <c r="F121" s="15">
        <f t="shared" si="3"/>
        <v>0</v>
      </c>
    </row>
    <row r="122" spans="1:6">
      <c r="A122" s="13" t="s">
        <v>4</v>
      </c>
      <c r="B122" s="12">
        <v>0</v>
      </c>
      <c r="C122" s="12">
        <v>0</v>
      </c>
      <c r="D122" s="12">
        <v>0</v>
      </c>
      <c r="E122" s="12">
        <v>0</v>
      </c>
      <c r="F122" s="15">
        <v>0</v>
      </c>
    </row>
    <row r="123" spans="1:6">
      <c r="A123" s="13" t="s">
        <v>5</v>
      </c>
      <c r="B123" s="12">
        <f>B103-D23</f>
        <v>0</v>
      </c>
      <c r="C123" s="12">
        <f t="shared" ref="C123:F123" si="4">C103-E23</f>
        <v>-50</v>
      </c>
      <c r="D123" s="12">
        <f t="shared" si="4"/>
        <v>0</v>
      </c>
      <c r="E123" s="12">
        <f t="shared" si="4"/>
        <v>0</v>
      </c>
      <c r="F123" s="15">
        <f t="shared" si="4"/>
        <v>-88</v>
      </c>
    </row>
    <row r="124" spans="1:6">
      <c r="A124" s="13" t="s">
        <v>6</v>
      </c>
      <c r="B124" s="12">
        <v>0</v>
      </c>
      <c r="C124" s="12">
        <v>0</v>
      </c>
      <c r="D124" s="12">
        <v>0</v>
      </c>
      <c r="E124" s="12">
        <v>0</v>
      </c>
      <c r="F124" s="15">
        <v>0</v>
      </c>
    </row>
    <row r="125" spans="1:6">
      <c r="A125" s="13" t="s">
        <v>7</v>
      </c>
      <c r="B125" s="12">
        <v>0</v>
      </c>
      <c r="C125" s="12">
        <v>0</v>
      </c>
      <c r="D125" s="12">
        <v>0</v>
      </c>
      <c r="E125" s="12">
        <v>0</v>
      </c>
      <c r="F125" s="15">
        <v>0</v>
      </c>
    </row>
    <row r="126" spans="1:6">
      <c r="A126" s="13" t="s">
        <v>8</v>
      </c>
      <c r="B126" s="12">
        <v>0</v>
      </c>
      <c r="C126" s="12">
        <v>0</v>
      </c>
      <c r="D126" s="12">
        <v>0</v>
      </c>
      <c r="E126" s="12">
        <v>0</v>
      </c>
      <c r="F126" s="15">
        <v>0</v>
      </c>
    </row>
    <row r="127" spans="1:6">
      <c r="A127" s="13" t="s">
        <v>9</v>
      </c>
      <c r="B127" s="12">
        <f>B102-D27</f>
        <v>30</v>
      </c>
      <c r="C127" s="12">
        <f t="shared" ref="C127:F127" si="5">C102-E27</f>
        <v>-191.79999999999995</v>
      </c>
      <c r="D127" s="12">
        <f t="shared" si="5"/>
        <v>379</v>
      </c>
      <c r="E127" s="12">
        <f t="shared" si="5"/>
        <v>117</v>
      </c>
      <c r="F127" s="15">
        <f t="shared" si="5"/>
        <v>-733</v>
      </c>
    </row>
    <row r="128" spans="1:6">
      <c r="A128" s="13" t="s">
        <v>10</v>
      </c>
      <c r="B128" s="12">
        <f>(B106+B101+B96+B92+B91)-D28</f>
        <v>27</v>
      </c>
      <c r="C128" s="12">
        <f t="shared" ref="C128:F128" si="6">(C106+C101+C96+C92+C91)-E28</f>
        <v>14</v>
      </c>
      <c r="D128" s="12">
        <f t="shared" si="6"/>
        <v>51</v>
      </c>
      <c r="E128" s="12">
        <f t="shared" si="6"/>
        <v>71</v>
      </c>
      <c r="F128" s="15">
        <f t="shared" si="6"/>
        <v>29</v>
      </c>
    </row>
    <row r="129" spans="1:6">
      <c r="A129" s="13" t="s">
        <v>11</v>
      </c>
      <c r="B129" s="12">
        <f>B109-D29</f>
        <v>1871.5</v>
      </c>
      <c r="C129" s="12">
        <f>C109-E29</f>
        <v>1200</v>
      </c>
      <c r="D129" s="12">
        <f t="shared" ref="C129:E129" si="7">D109-F29</f>
        <v>1114</v>
      </c>
      <c r="E129" s="12">
        <f t="shared" si="7"/>
        <v>284</v>
      </c>
      <c r="F129" s="15">
        <f>F109-H29</f>
        <v>739</v>
      </c>
    </row>
    <row r="130" spans="1:6">
      <c r="A130" s="13" t="s">
        <v>12</v>
      </c>
      <c r="B130" s="12">
        <f>B98-D50</f>
        <v>-49.5</v>
      </c>
      <c r="C130" s="12">
        <f t="shared" ref="C130:F130" si="8">C98-E50</f>
        <v>-34.1</v>
      </c>
      <c r="D130" s="12">
        <f t="shared" si="8"/>
        <v>-35.4</v>
      </c>
      <c r="E130" s="12">
        <f t="shared" si="8"/>
        <v>-11</v>
      </c>
      <c r="F130" s="15">
        <f t="shared" si="8"/>
        <v>-29.8</v>
      </c>
    </row>
    <row r="131" spans="1:6">
      <c r="A131" s="13" t="s">
        <v>13</v>
      </c>
      <c r="B131" s="12">
        <v>0</v>
      </c>
      <c r="C131" s="12">
        <v>0</v>
      </c>
      <c r="D131" s="12">
        <v>0</v>
      </c>
      <c r="E131" s="12">
        <v>0</v>
      </c>
      <c r="F131" s="15">
        <v>0</v>
      </c>
    </row>
    <row r="132" spans="1:6">
      <c r="A132" s="40" t="s">
        <v>177</v>
      </c>
      <c r="B132" s="39">
        <f>B99-Q20</f>
        <v>0</v>
      </c>
      <c r="C132" s="39">
        <f>C99-Q21</f>
        <v>487</v>
      </c>
      <c r="D132" s="39">
        <f>D99-Q22</f>
        <v>-0.29999999999999716</v>
      </c>
      <c r="E132" s="39">
        <f>E99-Q23</f>
        <v>0</v>
      </c>
      <c r="F132" s="44">
        <f>F99-Q24</f>
        <v>344</v>
      </c>
    </row>
    <row r="133" spans="1:6">
      <c r="A133" s="40" t="s">
        <v>102</v>
      </c>
      <c r="B133" s="39">
        <f>B89-R20</f>
        <v>-611.79999999999995</v>
      </c>
      <c r="C133" s="39">
        <f>C89-R21</f>
        <v>-1401.2999999999993</v>
      </c>
      <c r="D133" s="39">
        <f>D89-R22</f>
        <v>-627.5</v>
      </c>
      <c r="E133" s="39">
        <f>E89-R23</f>
        <v>-66.699999999999818</v>
      </c>
      <c r="F133" s="44">
        <f>F89-R24</f>
        <v>-862.69999999999982</v>
      </c>
    </row>
    <row r="134" spans="1:6">
      <c r="A134" s="31"/>
      <c r="B134" s="32">
        <f>SUM(B119:B133)</f>
        <v>1275.2</v>
      </c>
      <c r="C134" s="32">
        <f t="shared" ref="C134:F134" si="9">SUM(C119:C133)</f>
        <v>32.800000000000637</v>
      </c>
      <c r="D134" s="32">
        <f t="shared" si="9"/>
        <v>880.8</v>
      </c>
      <c r="E134" s="32">
        <f t="shared" si="9"/>
        <v>187.30000000000018</v>
      </c>
      <c r="F134" s="7">
        <f t="shared" si="9"/>
        <v>-703.49999999999977</v>
      </c>
    </row>
    <row r="135" spans="1:6" ht="15.75" thickBot="1">
      <c r="A135" s="45" t="s">
        <v>178</v>
      </c>
      <c r="B135" s="46">
        <f>SUM(B134:F134)</f>
        <v>1672.600000000001</v>
      </c>
      <c r="C135" s="46"/>
      <c r="D135" s="46"/>
      <c r="E135" s="46"/>
      <c r="F135" s="47"/>
    </row>
    <row r="145" spans="1:8">
      <c r="A145" s="21" t="s">
        <v>182</v>
      </c>
      <c r="B145" s="21"/>
      <c r="C145" s="21"/>
      <c r="D145" s="21"/>
      <c r="E145" s="21"/>
    </row>
    <row r="146" spans="1:8" ht="15.75" thickBot="1">
      <c r="A146" t="s">
        <v>183</v>
      </c>
      <c r="B146" t="s">
        <v>180</v>
      </c>
      <c r="C146" t="s">
        <v>181</v>
      </c>
      <c r="D146" t="s">
        <v>14</v>
      </c>
      <c r="E146" t="s">
        <v>23</v>
      </c>
    </row>
    <row r="147" spans="1:8" ht="15.75" thickBot="1">
      <c r="A147" s="26" t="s">
        <v>127</v>
      </c>
      <c r="B147" s="11">
        <v>26701</v>
      </c>
      <c r="C147" s="11">
        <v>16300</v>
      </c>
      <c r="D147" s="11">
        <v>0</v>
      </c>
      <c r="E147" s="11">
        <v>0</v>
      </c>
      <c r="H147" s="26"/>
    </row>
    <row r="148" spans="1:8" ht="15.75" thickBot="1">
      <c r="A148" s="26" t="s">
        <v>128</v>
      </c>
      <c r="B148" s="11">
        <v>0</v>
      </c>
      <c r="C148" s="11">
        <v>0</v>
      </c>
      <c r="D148" s="11">
        <v>0</v>
      </c>
      <c r="E148" s="11">
        <v>0</v>
      </c>
      <c r="H148" s="26"/>
    </row>
    <row r="149" spans="1:8" ht="15.75" thickBot="1">
      <c r="A149" s="26" t="s">
        <v>130</v>
      </c>
      <c r="B149" s="11">
        <v>31</v>
      </c>
      <c r="C149" s="11">
        <v>9000</v>
      </c>
      <c r="D149" s="11">
        <v>0</v>
      </c>
      <c r="E149" s="11">
        <v>436</v>
      </c>
      <c r="H149" s="26"/>
    </row>
    <row r="150" spans="1:8" ht="15.75" thickBot="1">
      <c r="A150" s="26" t="s">
        <v>131</v>
      </c>
      <c r="B150" s="11">
        <v>100</v>
      </c>
      <c r="C150" s="11">
        <v>0</v>
      </c>
      <c r="D150" s="11">
        <v>24</v>
      </c>
      <c r="E150" s="11">
        <v>392</v>
      </c>
      <c r="H150" s="26"/>
    </row>
    <row r="151" spans="1:8" ht="15.75" thickBot="1">
      <c r="A151" s="26" t="s">
        <v>132</v>
      </c>
      <c r="B151" s="11">
        <v>459</v>
      </c>
      <c r="C151" s="11">
        <v>0</v>
      </c>
      <c r="D151" s="11">
        <v>577</v>
      </c>
      <c r="E151" s="11">
        <v>1780</v>
      </c>
      <c r="H151" s="26"/>
    </row>
    <row r="152" spans="1:8" ht="15.75" thickBot="1">
      <c r="A152" s="26" t="s">
        <v>133</v>
      </c>
      <c r="B152" s="11">
        <v>0</v>
      </c>
      <c r="C152" s="11">
        <v>0</v>
      </c>
      <c r="D152" s="11">
        <v>0</v>
      </c>
      <c r="E152" s="11">
        <v>0</v>
      </c>
      <c r="H152" s="26"/>
    </row>
    <row r="153" spans="1:8" ht="15.75" thickBot="1">
      <c r="A153" s="26" t="s">
        <v>134</v>
      </c>
      <c r="B153" s="11">
        <v>0</v>
      </c>
      <c r="C153" s="11">
        <v>6900</v>
      </c>
      <c r="D153" s="11">
        <v>0</v>
      </c>
      <c r="E153" s="11">
        <v>2794</v>
      </c>
      <c r="H153" s="26"/>
    </row>
    <row r="154" spans="1:8" ht="15.75" thickBot="1">
      <c r="A154" s="26" t="s">
        <v>135</v>
      </c>
      <c r="B154" s="11">
        <v>0</v>
      </c>
      <c r="C154" s="11">
        <v>0</v>
      </c>
      <c r="D154" s="11">
        <v>0</v>
      </c>
      <c r="E154" s="11">
        <v>1051</v>
      </c>
      <c r="H154" s="26"/>
    </row>
    <row r="155" spans="1:8" ht="15.75" thickBot="1">
      <c r="A155" s="26" t="s">
        <v>136</v>
      </c>
      <c r="B155" s="11">
        <v>0</v>
      </c>
      <c r="C155" s="11">
        <v>0</v>
      </c>
      <c r="D155" s="11">
        <v>0</v>
      </c>
      <c r="E155" s="11">
        <v>0</v>
      </c>
      <c r="H155" s="26"/>
    </row>
    <row r="156" spans="1:8" ht="15.75" thickBot="1">
      <c r="A156" s="26" t="s">
        <v>137</v>
      </c>
      <c r="B156" s="11">
        <v>0</v>
      </c>
      <c r="C156" s="11">
        <v>0</v>
      </c>
      <c r="D156" s="11">
        <v>620</v>
      </c>
      <c r="E156" s="11">
        <v>18</v>
      </c>
      <c r="H156" s="26"/>
    </row>
    <row r="157" spans="1:8" ht="15.75" thickBot="1">
      <c r="A157" s="26" t="s">
        <v>138</v>
      </c>
      <c r="B157" s="11">
        <v>1065</v>
      </c>
      <c r="C157" s="11">
        <v>0</v>
      </c>
      <c r="D157" s="11">
        <v>0</v>
      </c>
      <c r="E157" s="11">
        <v>0</v>
      </c>
      <c r="H157" s="26"/>
    </row>
    <row r="158" spans="1:8" ht="15.75" thickBot="1">
      <c r="A158" s="26" t="s">
        <v>139</v>
      </c>
      <c r="B158" s="11">
        <v>0</v>
      </c>
      <c r="C158" s="11">
        <v>0</v>
      </c>
      <c r="D158" s="11">
        <v>1079</v>
      </c>
      <c r="E158" s="11">
        <v>1557</v>
      </c>
      <c r="H158" s="26"/>
    </row>
    <row r="159" spans="1:8" ht="15.75" thickBot="1">
      <c r="A159" s="26" t="s">
        <v>140</v>
      </c>
      <c r="B159" s="11">
        <v>0</v>
      </c>
      <c r="C159" s="11">
        <v>0</v>
      </c>
      <c r="D159" s="11">
        <v>764</v>
      </c>
      <c r="E159" s="11">
        <v>1051</v>
      </c>
      <c r="H159" s="26"/>
    </row>
    <row r="160" spans="1:8" ht="15.75" thickBot="1">
      <c r="A160" s="26" t="s">
        <v>141</v>
      </c>
      <c r="B160" s="11">
        <v>5130</v>
      </c>
      <c r="C160" s="11">
        <v>14700</v>
      </c>
      <c r="D160" s="11">
        <v>756</v>
      </c>
      <c r="E160" s="11">
        <v>5121</v>
      </c>
      <c r="H160" s="26"/>
    </row>
    <row r="161" spans="1:8" ht="15.75" thickBot="1">
      <c r="A161" s="26" t="s">
        <v>142</v>
      </c>
      <c r="B161" s="11">
        <v>0</v>
      </c>
      <c r="C161" s="11">
        <v>0</v>
      </c>
      <c r="D161" s="11">
        <v>1028</v>
      </c>
      <c r="E161" s="11">
        <v>0</v>
      </c>
      <c r="H161" s="26"/>
    </row>
    <row r="162" spans="1:8" ht="15.75" thickBot="1">
      <c r="A162" s="26" t="s">
        <v>143</v>
      </c>
      <c r="B162" s="11">
        <v>0</v>
      </c>
      <c r="C162" s="11">
        <v>0</v>
      </c>
      <c r="D162" s="11">
        <v>0</v>
      </c>
      <c r="E162" s="11">
        <v>0</v>
      </c>
      <c r="H162" s="26"/>
    </row>
    <row r="163" spans="1:8" ht="15.75" thickBot="1">
      <c r="A163" s="26" t="s">
        <v>144</v>
      </c>
      <c r="B163" s="11">
        <v>0</v>
      </c>
      <c r="C163" s="11">
        <v>0</v>
      </c>
      <c r="D163" s="11">
        <v>0</v>
      </c>
      <c r="E163" s="11">
        <v>0</v>
      </c>
      <c r="H163" s="26"/>
    </row>
    <row r="164" spans="1:8" ht="15.75" thickBot="1">
      <c r="A164" s="26" t="s">
        <v>145</v>
      </c>
      <c r="B164" s="11">
        <v>90</v>
      </c>
      <c r="C164" s="11">
        <v>0</v>
      </c>
      <c r="D164" s="11">
        <v>174</v>
      </c>
      <c r="E164" s="11">
        <v>114</v>
      </c>
      <c r="H164" s="26"/>
    </row>
    <row r="165" spans="1:8" ht="15.75" thickBot="1">
      <c r="A165" s="26" t="s">
        <v>146</v>
      </c>
      <c r="B165" s="11">
        <v>0</v>
      </c>
      <c r="C165" s="11">
        <v>0</v>
      </c>
      <c r="D165" s="11">
        <v>1063</v>
      </c>
      <c r="E165" s="11">
        <v>1833</v>
      </c>
      <c r="H165" s="26"/>
    </row>
    <row r="166" spans="1:8" ht="15.75" thickBot="1">
      <c r="A166" s="26" t="s">
        <v>147</v>
      </c>
      <c r="B166" s="11">
        <v>0</v>
      </c>
      <c r="C166" s="11">
        <v>0</v>
      </c>
      <c r="D166" s="11">
        <v>0</v>
      </c>
      <c r="E166" s="11">
        <v>0</v>
      </c>
      <c r="H166" s="26"/>
    </row>
    <row r="167" spans="1:8" ht="15.75" thickBot="1">
      <c r="A167" s="26" t="s">
        <v>148</v>
      </c>
      <c r="B167" s="11">
        <v>6702</v>
      </c>
      <c r="C167" s="11">
        <v>0</v>
      </c>
      <c r="D167" s="11">
        <v>0</v>
      </c>
      <c r="E167" s="11">
        <v>3167</v>
      </c>
      <c r="H167" s="26"/>
    </row>
    <row r="168" spans="1:8" ht="15.75" thickBot="1">
      <c r="A168" s="26" t="s">
        <v>149</v>
      </c>
      <c r="B168" s="11">
        <v>40278</v>
      </c>
      <c r="C168" s="11">
        <v>46900</v>
      </c>
      <c r="D168" s="11">
        <v>6085</v>
      </c>
      <c r="E168" s="11">
        <v>19314</v>
      </c>
      <c r="H168" s="26"/>
    </row>
  </sheetData>
  <mergeCells count="15">
    <mergeCell ref="A87:F87"/>
    <mergeCell ref="A117:F117"/>
    <mergeCell ref="B135:F135"/>
    <mergeCell ref="A145:E145"/>
    <mergeCell ref="P17:R17"/>
    <mergeCell ref="D56:H56"/>
    <mergeCell ref="I56:L56"/>
    <mergeCell ref="B57:L57"/>
    <mergeCell ref="A17:L17"/>
    <mergeCell ref="A37:L37"/>
    <mergeCell ref="I53:L53"/>
    <mergeCell ref="D53:H53"/>
    <mergeCell ref="D34:H34"/>
    <mergeCell ref="I34:L34"/>
    <mergeCell ref="A59:F59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6534-0FD4-47EC-8EB1-05D4D158657A}">
  <dimension ref="B3:H14"/>
  <sheetViews>
    <sheetView workbookViewId="0">
      <selection activeCell="B3" sqref="B3:H14"/>
    </sheetView>
  </sheetViews>
  <sheetFormatPr baseColWidth="10" defaultRowHeight="15"/>
  <sheetData>
    <row r="3" spans="2:8">
      <c r="B3" s="20" t="s">
        <v>116</v>
      </c>
      <c r="C3" s="20"/>
      <c r="D3" s="20"/>
      <c r="F3" t="s">
        <v>117</v>
      </c>
    </row>
    <row r="4" spans="2:8">
      <c r="B4" s="1" t="s">
        <v>0</v>
      </c>
      <c r="C4" s="2" t="s">
        <v>101</v>
      </c>
      <c r="D4" s="3" t="s">
        <v>102</v>
      </c>
      <c r="F4" s="1" t="s">
        <v>0</v>
      </c>
      <c r="G4" s="2" t="s">
        <v>101</v>
      </c>
      <c r="H4" s="3" t="s">
        <v>102</v>
      </c>
    </row>
    <row r="5" spans="2:8">
      <c r="B5" s="4" t="s">
        <v>23</v>
      </c>
      <c r="C5" s="5" t="s">
        <v>18</v>
      </c>
      <c r="D5" s="6" t="s">
        <v>103</v>
      </c>
      <c r="F5" s="4" t="s">
        <v>23</v>
      </c>
      <c r="G5" s="5" t="s">
        <v>18</v>
      </c>
      <c r="H5" s="6">
        <v>0</v>
      </c>
    </row>
    <row r="6" spans="2:8">
      <c r="B6" s="1" t="s">
        <v>34</v>
      </c>
      <c r="C6" s="2" t="s">
        <v>18</v>
      </c>
      <c r="D6" s="3" t="s">
        <v>104</v>
      </c>
      <c r="F6" s="1" t="s">
        <v>34</v>
      </c>
      <c r="G6" s="2" t="s">
        <v>18</v>
      </c>
      <c r="H6" s="3">
        <v>1429</v>
      </c>
    </row>
    <row r="7" spans="2:8">
      <c r="B7" s="4" t="s">
        <v>39</v>
      </c>
      <c r="C7" s="5" t="s">
        <v>62</v>
      </c>
      <c r="D7" s="6" t="s">
        <v>105</v>
      </c>
      <c r="F7" s="4" t="s">
        <v>39</v>
      </c>
      <c r="G7" s="5">
        <v>522</v>
      </c>
      <c r="H7" s="6">
        <v>9817</v>
      </c>
    </row>
    <row r="8" spans="2:8">
      <c r="B8" s="1" t="s">
        <v>45</v>
      </c>
      <c r="C8" s="2" t="s">
        <v>106</v>
      </c>
      <c r="D8" s="3" t="s">
        <v>107</v>
      </c>
      <c r="F8" s="1" t="s">
        <v>45</v>
      </c>
      <c r="G8" s="2">
        <v>60</v>
      </c>
      <c r="H8" s="3">
        <v>3440</v>
      </c>
    </row>
    <row r="9" spans="2:8">
      <c r="B9" s="4" t="s">
        <v>50</v>
      </c>
      <c r="C9" s="5" t="s">
        <v>18</v>
      </c>
      <c r="D9" s="6" t="s">
        <v>108</v>
      </c>
      <c r="F9" s="4" t="s">
        <v>50</v>
      </c>
      <c r="G9" s="5" t="s">
        <v>18</v>
      </c>
      <c r="H9" s="6">
        <v>4903</v>
      </c>
    </row>
    <row r="10" spans="2:8">
      <c r="B10" s="1" t="s">
        <v>54</v>
      </c>
      <c r="C10" s="2" t="s">
        <v>109</v>
      </c>
      <c r="D10" s="3" t="s">
        <v>110</v>
      </c>
      <c r="F10" s="1" t="s">
        <v>54</v>
      </c>
      <c r="G10" s="2">
        <v>483</v>
      </c>
      <c r="H10" s="3">
        <v>7112</v>
      </c>
    </row>
    <row r="11" spans="2:8">
      <c r="B11" s="4" t="s">
        <v>61</v>
      </c>
      <c r="C11" s="5" t="s">
        <v>18</v>
      </c>
      <c r="D11" s="6" t="s">
        <v>111</v>
      </c>
      <c r="F11" s="4" t="s">
        <v>61</v>
      </c>
      <c r="G11" s="5" t="s">
        <v>118</v>
      </c>
      <c r="H11" s="5" t="s">
        <v>118</v>
      </c>
    </row>
    <row r="12" spans="2:8">
      <c r="B12" s="1" t="s">
        <v>68</v>
      </c>
      <c r="C12" s="2" t="s">
        <v>18</v>
      </c>
      <c r="D12" s="3" t="s">
        <v>112</v>
      </c>
      <c r="F12" s="1" t="s">
        <v>68</v>
      </c>
      <c r="G12" s="5" t="s">
        <v>118</v>
      </c>
      <c r="H12" s="5" t="s">
        <v>118</v>
      </c>
    </row>
    <row r="13" spans="2:8">
      <c r="B13" s="4" t="s">
        <v>74</v>
      </c>
      <c r="C13" s="5" t="s">
        <v>113</v>
      </c>
      <c r="D13" s="6" t="s">
        <v>114</v>
      </c>
      <c r="F13" s="4" t="s">
        <v>74</v>
      </c>
      <c r="G13" s="5" t="s">
        <v>118</v>
      </c>
      <c r="H13" s="5" t="s">
        <v>118</v>
      </c>
    </row>
    <row r="14" spans="2:8">
      <c r="B14" s="1" t="s">
        <v>82</v>
      </c>
      <c r="C14" s="2" t="s">
        <v>18</v>
      </c>
      <c r="D14" s="3" t="s">
        <v>115</v>
      </c>
      <c r="F14" s="1" t="s">
        <v>82</v>
      </c>
      <c r="G14" s="5" t="s">
        <v>118</v>
      </c>
      <c r="H14" s="5" t="s">
        <v>118</v>
      </c>
    </row>
  </sheetData>
  <mergeCells count="1">
    <mergeCell ref="B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42E9B-A52D-40CC-A0B6-250D5828D2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Result_generator_capacity</vt:lpstr>
      <vt:lpstr>Result_storage_units_capaci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Aleksander Rønnevik Nesheim</cp:lastModifiedBy>
  <dcterms:created xsi:type="dcterms:W3CDTF">2025-11-06T10:50:52Z</dcterms:created>
  <dcterms:modified xsi:type="dcterms:W3CDTF">2025-11-07T19:29:37Z</dcterms:modified>
</cp:coreProperties>
</file>